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8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a0c3d431f52601/1.Tài liệu CFA - CMT/Modeling/"/>
    </mc:Choice>
  </mc:AlternateContent>
  <xr:revisionPtr revIDLastSave="9" documentId="8_{21943DFD-9099-455D-A203-6C97A3EBF6D6}" xr6:coauthVersionLast="47" xr6:coauthVersionMax="47" xr10:uidLastSave="{6168ECE8-F870-4897-AA03-6B7CADB9340F}"/>
  <bookViews>
    <workbookView xWindow="-108" yWindow="-108" windowWidth="23256" windowHeight="12456" tabRatio="990" activeTab="5" xr2:uid="{4C84A3BE-B14B-412D-8E2F-6B484B5F1169}"/>
  </bookViews>
  <sheets>
    <sheet name="IP_BS Raw" sheetId="2" r:id="rId1"/>
    <sheet name="IP_BS Raw (Q)" sheetId="35" state="hidden" r:id="rId2"/>
    <sheet name="IP_IS Raw" sheetId="3" r:id="rId3"/>
    <sheet name="IP_CF Raw" sheetId="4" r:id="rId4"/>
    <sheet name="IP_Notes Raw" sheetId="5" r:id="rId5"/>
    <sheet name="IPc_Others" sheetId="7" r:id="rId6"/>
    <sheet name="PD_Annual Breakdown" sheetId="25" r:id="rId7"/>
    <sheet name="PD_Operation" sheetId="30" r:id="rId8"/>
    <sheet name="IPc_WACC and Beta" sheetId="8" r:id="rId9"/>
    <sheet name="OD_BS" sheetId="31" r:id="rId10"/>
    <sheet name="OD_IS" sheetId="33" r:id="rId11"/>
    <sheet name="OD_CF" sheetId="32" r:id="rId12"/>
    <sheet name="OD_Ratio" sheetId="36" r:id="rId13"/>
    <sheet name="OD_Valuation" sheetId="34" r:id="rId14"/>
    <sheet name="Analysis" sheetId="3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34" l="1"/>
  <c r="I13" i="30" s="1"/>
  <c r="C100" i="34"/>
  <c r="M16" i="8"/>
  <c r="P6" i="8" s="1"/>
  <c r="M15" i="8"/>
  <c r="I9" i="8"/>
  <c r="N6" i="32"/>
  <c r="M6" i="32"/>
  <c r="L6" i="32"/>
  <c r="K6" i="32"/>
  <c r="J6" i="32"/>
  <c r="I6" i="32"/>
  <c r="N11" i="30"/>
  <c r="M11" i="30"/>
  <c r="L11" i="30"/>
  <c r="K11" i="30"/>
  <c r="J11" i="30"/>
  <c r="M26" i="34"/>
  <c r="C7" i="34"/>
  <c r="C41" i="38" s="1"/>
  <c r="I30" i="3"/>
  <c r="H30" i="3"/>
  <c r="G30" i="3"/>
  <c r="F30" i="3"/>
  <c r="E30" i="3"/>
  <c r="I29" i="3"/>
  <c r="H29" i="3"/>
  <c r="G29" i="3"/>
  <c r="F29" i="3"/>
  <c r="E29" i="3"/>
  <c r="R19" i="7"/>
  <c r="R14" i="7"/>
  <c r="C13" i="34"/>
  <c r="I55" i="34" s="1"/>
  <c r="C12" i="34"/>
  <c r="C105" i="34" s="1"/>
  <c r="E105" i="34" s="1"/>
  <c r="N13" i="30"/>
  <c r="C10" i="34"/>
  <c r="C103" i="34" s="1"/>
  <c r="D103" i="34" s="1"/>
  <c r="C9" i="34"/>
  <c r="C65" i="34" s="1"/>
  <c r="C8" i="34"/>
  <c r="B72" i="34" s="1"/>
  <c r="E87" i="34"/>
  <c r="E88" i="34" s="1"/>
  <c r="D87" i="34"/>
  <c r="D88" i="34" s="1"/>
  <c r="C87" i="34"/>
  <c r="C88" i="34" s="1"/>
  <c r="M12" i="8"/>
  <c r="N8" i="7"/>
  <c r="M8" i="7"/>
  <c r="L8" i="7"/>
  <c r="K8" i="7"/>
  <c r="J8" i="7"/>
  <c r="I8" i="7"/>
  <c r="H8" i="7"/>
  <c r="G8" i="7"/>
  <c r="F8" i="7"/>
  <c r="E8" i="7"/>
  <c r="D8" i="7"/>
  <c r="N48" i="7"/>
  <c r="N47" i="7"/>
  <c r="N46" i="7"/>
  <c r="N38" i="7"/>
  <c r="M48" i="7"/>
  <c r="M47" i="7"/>
  <c r="M46" i="7"/>
  <c r="M38" i="7"/>
  <c r="L48" i="7"/>
  <c r="L47" i="7"/>
  <c r="L46" i="7"/>
  <c r="L38" i="7"/>
  <c r="K48" i="7"/>
  <c r="K47" i="7"/>
  <c r="K46" i="7"/>
  <c r="K38" i="7"/>
  <c r="J48" i="7"/>
  <c r="J47" i="7"/>
  <c r="J46" i="7"/>
  <c r="J38" i="7"/>
  <c r="I48" i="7"/>
  <c r="I47" i="7"/>
  <c r="I46" i="7"/>
  <c r="I38" i="7"/>
  <c r="H48" i="7"/>
  <c r="H47" i="7"/>
  <c r="H46" i="7"/>
  <c r="H38" i="7"/>
  <c r="G48" i="7"/>
  <c r="G47" i="7"/>
  <c r="G46" i="7"/>
  <c r="G38" i="7"/>
  <c r="F48" i="7"/>
  <c r="F47" i="7"/>
  <c r="F46" i="7"/>
  <c r="F38" i="7"/>
  <c r="E48" i="7"/>
  <c r="E47" i="7"/>
  <c r="E46" i="7"/>
  <c r="E38" i="7"/>
  <c r="D48" i="7"/>
  <c r="D47" i="7"/>
  <c r="D46" i="7"/>
  <c r="C70" i="7"/>
  <c r="C69" i="7"/>
  <c r="C68" i="7"/>
  <c r="G37" i="38"/>
  <c r="F37" i="38"/>
  <c r="E37" i="38"/>
  <c r="D37" i="38"/>
  <c r="C37" i="38"/>
  <c r="G36" i="38"/>
  <c r="F36" i="38"/>
  <c r="E36" i="38"/>
  <c r="D36" i="38"/>
  <c r="C36" i="38"/>
  <c r="G35" i="38"/>
  <c r="F35" i="38"/>
  <c r="E35" i="38"/>
  <c r="D35" i="38"/>
  <c r="C35" i="38"/>
  <c r="G34" i="38"/>
  <c r="F34" i="38"/>
  <c r="E34" i="38"/>
  <c r="D34" i="38"/>
  <c r="C34" i="38"/>
  <c r="G33" i="38"/>
  <c r="F33" i="38"/>
  <c r="E33" i="38"/>
  <c r="D33" i="38"/>
  <c r="C33" i="38"/>
  <c r="G32" i="38"/>
  <c r="F32" i="38"/>
  <c r="E32" i="38"/>
  <c r="D32" i="38"/>
  <c r="C32" i="38"/>
  <c r="G31" i="38"/>
  <c r="F31" i="38"/>
  <c r="E31" i="38"/>
  <c r="D31" i="38"/>
  <c r="C31" i="38"/>
  <c r="G27" i="38"/>
  <c r="F27" i="38"/>
  <c r="E27" i="38"/>
  <c r="D27" i="38"/>
  <c r="C27" i="38"/>
  <c r="G26" i="38"/>
  <c r="F26" i="38"/>
  <c r="E26" i="38"/>
  <c r="D26" i="38"/>
  <c r="C26" i="38"/>
  <c r="G25" i="38"/>
  <c r="F25" i="38"/>
  <c r="E25" i="38"/>
  <c r="D25" i="38"/>
  <c r="C25" i="38"/>
  <c r="G24" i="38"/>
  <c r="F24" i="38"/>
  <c r="E24" i="38"/>
  <c r="D24" i="38"/>
  <c r="C24" i="38"/>
  <c r="M23" i="38"/>
  <c r="L23" i="38"/>
  <c r="K23" i="38"/>
  <c r="J23" i="38"/>
  <c r="I23" i="38"/>
  <c r="H23" i="38"/>
  <c r="G23" i="38"/>
  <c r="F23" i="38"/>
  <c r="E23" i="38"/>
  <c r="D23" i="38"/>
  <c r="C23" i="38"/>
  <c r="G22" i="38"/>
  <c r="F22" i="38"/>
  <c r="E22" i="38"/>
  <c r="D22" i="38"/>
  <c r="C22" i="38"/>
  <c r="G21" i="38"/>
  <c r="F21" i="38"/>
  <c r="E21" i="38"/>
  <c r="D21" i="38"/>
  <c r="C21" i="38"/>
  <c r="G20" i="38"/>
  <c r="F20" i="38"/>
  <c r="E20" i="38"/>
  <c r="D20" i="38"/>
  <c r="C20" i="38"/>
  <c r="G19" i="38"/>
  <c r="F19" i="38"/>
  <c r="E19" i="38"/>
  <c r="D19" i="38"/>
  <c r="C19" i="38"/>
  <c r="M18" i="38"/>
  <c r="L18" i="38"/>
  <c r="K18" i="38"/>
  <c r="J18" i="38"/>
  <c r="I18" i="38"/>
  <c r="H18" i="38"/>
  <c r="G18" i="38"/>
  <c r="F18" i="38"/>
  <c r="E18" i="38"/>
  <c r="D18" i="38"/>
  <c r="C18" i="38"/>
  <c r="G17" i="38"/>
  <c r="F17" i="38"/>
  <c r="E17" i="38"/>
  <c r="D17" i="38"/>
  <c r="C17" i="38"/>
  <c r="G13" i="38"/>
  <c r="F13" i="38"/>
  <c r="E13" i="38"/>
  <c r="D13" i="38"/>
  <c r="C13" i="38"/>
  <c r="G12" i="38"/>
  <c r="F12" i="38"/>
  <c r="E12" i="38"/>
  <c r="D12" i="38"/>
  <c r="C12" i="38"/>
  <c r="G11" i="38"/>
  <c r="F11" i="38"/>
  <c r="E11" i="38"/>
  <c r="D11" i="38"/>
  <c r="C11" i="38"/>
  <c r="G10" i="38"/>
  <c r="F10" i="38"/>
  <c r="E10" i="38"/>
  <c r="D10" i="38"/>
  <c r="C10" i="38"/>
  <c r="G9" i="38"/>
  <c r="F9" i="38"/>
  <c r="E9" i="38"/>
  <c r="D9" i="38"/>
  <c r="C9" i="38"/>
  <c r="G8" i="38"/>
  <c r="F8" i="38"/>
  <c r="E8" i="38"/>
  <c r="D8" i="38"/>
  <c r="C8" i="38"/>
  <c r="G7" i="38"/>
  <c r="F7" i="38"/>
  <c r="E7" i="38"/>
  <c r="D7" i="38"/>
  <c r="C7" i="38"/>
  <c r="G6" i="38"/>
  <c r="F6" i="38"/>
  <c r="E6" i="38"/>
  <c r="D6" i="38"/>
  <c r="G5" i="38"/>
  <c r="F5" i="38"/>
  <c r="E5" i="38"/>
  <c r="D5" i="38"/>
  <c r="C5" i="38"/>
  <c r="Q82" i="36"/>
  <c r="R82" i="36"/>
  <c r="S82" i="36"/>
  <c r="T82" i="36"/>
  <c r="Q81" i="36"/>
  <c r="R81" i="36"/>
  <c r="S81" i="36"/>
  <c r="T81" i="36"/>
  <c r="Q77" i="36"/>
  <c r="R77" i="36"/>
  <c r="S77" i="36"/>
  <c r="T77" i="36"/>
  <c r="Q76" i="36"/>
  <c r="R76" i="36"/>
  <c r="S76" i="36"/>
  <c r="T76" i="36"/>
  <c r="Q75" i="36"/>
  <c r="R75" i="36"/>
  <c r="S75" i="36"/>
  <c r="T75" i="36"/>
  <c r="Q70" i="36"/>
  <c r="R70" i="36"/>
  <c r="S70" i="36"/>
  <c r="T70" i="36"/>
  <c r="Q69" i="36"/>
  <c r="R69" i="36"/>
  <c r="S69" i="36"/>
  <c r="T69" i="36"/>
  <c r="Q65" i="36"/>
  <c r="R65" i="36"/>
  <c r="S65" i="36"/>
  <c r="T65" i="36"/>
  <c r="Q64" i="36"/>
  <c r="R64" i="36"/>
  <c r="S64" i="36"/>
  <c r="T64" i="36"/>
  <c r="Q63" i="36"/>
  <c r="R63" i="36"/>
  <c r="S63" i="36"/>
  <c r="T63" i="36"/>
  <c r="Q58" i="36"/>
  <c r="R58" i="36"/>
  <c r="S58" i="36"/>
  <c r="T58" i="36"/>
  <c r="Q57" i="36"/>
  <c r="R57" i="36"/>
  <c r="S57" i="36"/>
  <c r="T57" i="36"/>
  <c r="Q53" i="36"/>
  <c r="R53" i="36"/>
  <c r="S53" i="36"/>
  <c r="T53" i="36"/>
  <c r="Q52" i="36"/>
  <c r="R52" i="36"/>
  <c r="S52" i="36"/>
  <c r="T52" i="36"/>
  <c r="Q51" i="36"/>
  <c r="R51" i="36"/>
  <c r="S51" i="36"/>
  <c r="T51" i="36"/>
  <c r="G18" i="36"/>
  <c r="G10" i="36"/>
  <c r="G8" i="36"/>
  <c r="G6" i="36"/>
  <c r="H6" i="30"/>
  <c r="M11" i="8"/>
  <c r="M10" i="8"/>
  <c r="M13" i="8" s="1"/>
  <c r="M6" i="8"/>
  <c r="M5" i="8"/>
  <c r="M4" i="8"/>
  <c r="M7" i="8" s="1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C6" i="8"/>
  <c r="I12" i="8" s="1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N6" i="31"/>
  <c r="M6" i="31"/>
  <c r="L6" i="31"/>
  <c r="K6" i="31"/>
  <c r="J6" i="31"/>
  <c r="I6" i="31"/>
  <c r="N25" i="30"/>
  <c r="M25" i="30"/>
  <c r="L25" i="30"/>
  <c r="K25" i="30"/>
  <c r="J25" i="30"/>
  <c r="I25" i="30"/>
  <c r="N24" i="30"/>
  <c r="M24" i="30"/>
  <c r="L24" i="30"/>
  <c r="K24" i="30"/>
  <c r="J24" i="30"/>
  <c r="I24" i="30"/>
  <c r="N18" i="30"/>
  <c r="M18" i="30"/>
  <c r="L18" i="30"/>
  <c r="K18" i="30"/>
  <c r="J18" i="30"/>
  <c r="I18" i="30"/>
  <c r="N20" i="30"/>
  <c r="M20" i="30"/>
  <c r="L20" i="30"/>
  <c r="K20" i="30"/>
  <c r="J20" i="30"/>
  <c r="I20" i="30"/>
  <c r="N19" i="30"/>
  <c r="M19" i="30"/>
  <c r="L19" i="30"/>
  <c r="K19" i="30"/>
  <c r="J19" i="30"/>
  <c r="I19" i="30"/>
  <c r="N17" i="30"/>
  <c r="M17" i="30"/>
  <c r="L17" i="30"/>
  <c r="K17" i="30"/>
  <c r="J17" i="30"/>
  <c r="I17" i="30"/>
  <c r="C14" i="34"/>
  <c r="C49" i="34" s="1"/>
  <c r="H12" i="31"/>
  <c r="G12" i="31"/>
  <c r="F12" i="31"/>
  <c r="E12" i="31"/>
  <c r="D12" i="31"/>
  <c r="C44" i="34"/>
  <c r="C45" i="34"/>
  <c r="I51" i="4"/>
  <c r="I50" i="4"/>
  <c r="H51" i="4"/>
  <c r="G51" i="4"/>
  <c r="G48" i="4"/>
  <c r="F49" i="4"/>
  <c r="E50" i="4"/>
  <c r="E49" i="4"/>
  <c r="E35" i="3"/>
  <c r="E33" i="3"/>
  <c r="E48" i="4"/>
  <c r="G50" i="7"/>
  <c r="C15" i="34" s="1"/>
  <c r="C47" i="34" s="1"/>
  <c r="C50" i="38" s="1"/>
  <c r="G49" i="7"/>
  <c r="H9" i="7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53" i="4"/>
  <c r="I52" i="4"/>
  <c r="I49" i="4"/>
  <c r="I48" i="4"/>
  <c r="I37" i="3"/>
  <c r="I36" i="3"/>
  <c r="I35" i="3"/>
  <c r="I34" i="3"/>
  <c r="I33" i="3"/>
  <c r="I130" i="2"/>
  <c r="I131" i="2"/>
  <c r="I132" i="2"/>
  <c r="I133" i="2"/>
  <c r="I134" i="2"/>
  <c r="I135" i="2"/>
  <c r="I136" i="2"/>
  <c r="H130" i="2"/>
  <c r="H131" i="2"/>
  <c r="H132" i="2"/>
  <c r="H133" i="2"/>
  <c r="H134" i="2"/>
  <c r="H135" i="2"/>
  <c r="H136" i="2"/>
  <c r="H2" i="30"/>
  <c r="H3" i="25"/>
  <c r="H6" i="25"/>
  <c r="H5" i="25" s="1"/>
  <c r="H7" i="25"/>
  <c r="H8" i="25"/>
  <c r="H9" i="25"/>
  <c r="H38" i="25"/>
  <c r="H41" i="25"/>
  <c r="H42" i="25" s="1"/>
  <c r="H54" i="25"/>
  <c r="H56" i="25"/>
  <c r="H57" i="25"/>
  <c r="H59" i="25"/>
  <c r="H61" i="25"/>
  <c r="H67" i="25"/>
  <c r="H75" i="25"/>
  <c r="H79" i="25"/>
  <c r="H81" i="25"/>
  <c r="H83" i="25"/>
  <c r="H85" i="25"/>
  <c r="H87" i="25"/>
  <c r="H92" i="25"/>
  <c r="H97" i="25"/>
  <c r="H20" i="25" s="1"/>
  <c r="H98" i="25"/>
  <c r="H21" i="25" s="1"/>
  <c r="H103" i="25"/>
  <c r="H102" i="25" s="1"/>
  <c r="H104" i="25"/>
  <c r="H105" i="25"/>
  <c r="H106" i="25"/>
  <c r="H99" i="25" s="1"/>
  <c r="H22" i="25" s="1"/>
  <c r="H107" i="25"/>
  <c r="H100" i="25" s="1"/>
  <c r="H23" i="25" s="1"/>
  <c r="H109" i="25"/>
  <c r="H117" i="25"/>
  <c r="H1" i="7"/>
  <c r="H2" i="7"/>
  <c r="H10" i="7"/>
  <c r="H16" i="7"/>
  <c r="H17" i="7"/>
  <c r="H20" i="7"/>
  <c r="H21" i="7"/>
  <c r="H22" i="7"/>
  <c r="H24" i="7"/>
  <c r="H25" i="7"/>
  <c r="H32" i="7"/>
  <c r="H29" i="7"/>
  <c r="H44" i="7"/>
  <c r="H2" i="36"/>
  <c r="H2" i="32"/>
  <c r="H4" i="32"/>
  <c r="H6" i="32"/>
  <c r="H10" i="32"/>
  <c r="H11" i="32"/>
  <c r="H12" i="32"/>
  <c r="H13" i="32"/>
  <c r="H14" i="32"/>
  <c r="H15" i="32"/>
  <c r="H16" i="32"/>
  <c r="H17" i="32"/>
  <c r="H18" i="32"/>
  <c r="H19" i="32"/>
  <c r="H22" i="32"/>
  <c r="H2" i="33"/>
  <c r="H4" i="33"/>
  <c r="H5" i="33"/>
  <c r="H7" i="33"/>
  <c r="H8" i="33"/>
  <c r="H10" i="33"/>
  <c r="H11" i="33"/>
  <c r="H12" i="33"/>
  <c r="H13" i="33"/>
  <c r="H19" i="33"/>
  <c r="H25" i="33"/>
  <c r="H27" i="33"/>
  <c r="H31" i="33"/>
  <c r="H30" i="33" s="1"/>
  <c r="H59" i="33"/>
  <c r="H60" i="33"/>
  <c r="H61" i="33"/>
  <c r="H62" i="33"/>
  <c r="H2" i="31"/>
  <c r="H6" i="31"/>
  <c r="H24" i="32" s="1"/>
  <c r="H7" i="31"/>
  <c r="H8" i="31"/>
  <c r="H9" i="31"/>
  <c r="H10" i="31"/>
  <c r="H13" i="31"/>
  <c r="H16" i="31"/>
  <c r="H17" i="31"/>
  <c r="H20" i="31"/>
  <c r="H21" i="31"/>
  <c r="H24" i="30" s="1"/>
  <c r="H22" i="31"/>
  <c r="H24" i="31"/>
  <c r="H25" i="30" s="1"/>
  <c r="H25" i="31"/>
  <c r="H27" i="31"/>
  <c r="H28" i="31"/>
  <c r="H29" i="31"/>
  <c r="H30" i="31"/>
  <c r="H31" i="31"/>
  <c r="H32" i="31"/>
  <c r="I2" i="5"/>
  <c r="I2" i="4"/>
  <c r="I2" i="3"/>
  <c r="D3" i="36"/>
  <c r="E3" i="36" s="1"/>
  <c r="F3" i="36" s="1"/>
  <c r="G3" i="36" s="1"/>
  <c r="H3" i="36" s="1"/>
  <c r="D3" i="32"/>
  <c r="E3" i="32" s="1"/>
  <c r="F3" i="32" s="1"/>
  <c r="G3" i="32" s="1"/>
  <c r="H3" i="32" s="1"/>
  <c r="D3" i="33"/>
  <c r="E3" i="33" s="1"/>
  <c r="F3" i="33" s="1"/>
  <c r="G3" i="33" s="1"/>
  <c r="D3" i="31"/>
  <c r="E3" i="31" s="1"/>
  <c r="F3" i="31" s="1"/>
  <c r="G3" i="31" s="1"/>
  <c r="H3" i="31" s="1"/>
  <c r="P5" i="8" l="1"/>
  <c r="G65" i="34"/>
  <c r="F65" i="34"/>
  <c r="D65" i="34"/>
  <c r="C18" i="34"/>
  <c r="E65" i="34"/>
  <c r="D100" i="34"/>
  <c r="C102" i="34"/>
  <c r="D102" i="34" s="1"/>
  <c r="C104" i="34"/>
  <c r="D104" i="34" s="1"/>
  <c r="C42" i="38"/>
  <c r="C101" i="34"/>
  <c r="D101" i="34" s="1"/>
  <c r="C43" i="38"/>
  <c r="E100" i="34"/>
  <c r="E103" i="34"/>
  <c r="E102" i="34"/>
  <c r="D105" i="34"/>
  <c r="C106" i="34"/>
  <c r="C55" i="34"/>
  <c r="C47" i="38"/>
  <c r="H65" i="34"/>
  <c r="I65" i="34"/>
  <c r="B71" i="34"/>
  <c r="B66" i="34"/>
  <c r="B67" i="34"/>
  <c r="B68" i="34"/>
  <c r="B69" i="34"/>
  <c r="B70" i="34"/>
  <c r="I20" i="33"/>
  <c r="J13" i="30"/>
  <c r="J20" i="33" s="1"/>
  <c r="K13" i="30"/>
  <c r="K20" i="33" s="1"/>
  <c r="L13" i="30"/>
  <c r="L20" i="33" s="1"/>
  <c r="M13" i="30"/>
  <c r="M20" i="33" s="1"/>
  <c r="G55" i="34"/>
  <c r="H55" i="34"/>
  <c r="F55" i="34"/>
  <c r="D55" i="34"/>
  <c r="E55" i="34"/>
  <c r="H12" i="30"/>
  <c r="H21" i="30"/>
  <c r="H17" i="30"/>
  <c r="H9" i="30"/>
  <c r="H16" i="30"/>
  <c r="H6" i="33"/>
  <c r="H9" i="33" s="1"/>
  <c r="H16" i="33" s="1"/>
  <c r="H17" i="33" s="1"/>
  <c r="H20" i="30"/>
  <c r="H9" i="32"/>
  <c r="H23" i="32" s="1"/>
  <c r="H10" i="30"/>
  <c r="H28" i="33"/>
  <c r="H11" i="30"/>
  <c r="H47" i="31"/>
  <c r="H35" i="33"/>
  <c r="H34" i="33" s="1"/>
  <c r="H23" i="7"/>
  <c r="H31" i="7"/>
  <c r="H27" i="7" s="1"/>
  <c r="H28" i="7" s="1"/>
  <c r="H48" i="31"/>
  <c r="H5" i="31"/>
  <c r="H20" i="32"/>
  <c r="H3" i="33"/>
  <c r="H3" i="30" s="1"/>
  <c r="H14" i="31"/>
  <c r="H11" i="31" s="1"/>
  <c r="H19" i="7"/>
  <c r="H18" i="7" s="1"/>
  <c r="H26" i="31"/>
  <c r="H57" i="33"/>
  <c r="H26" i="33"/>
  <c r="H19" i="30"/>
  <c r="H16" i="25"/>
  <c r="H10" i="25"/>
  <c r="H39" i="25"/>
  <c r="H11" i="25"/>
  <c r="H15" i="25"/>
  <c r="H13" i="25"/>
  <c r="I3" i="32"/>
  <c r="J3" i="32" s="1"/>
  <c r="K3" i="32" s="1"/>
  <c r="L3" i="32" s="1"/>
  <c r="M3" i="32" s="1"/>
  <c r="N3" i="32" s="1"/>
  <c r="H96" i="25"/>
  <c r="H24" i="33"/>
  <c r="H14" i="25"/>
  <c r="H8" i="30"/>
  <c r="H23" i="31"/>
  <c r="H19" i="31"/>
  <c r="H18" i="30"/>
  <c r="H77" i="25"/>
  <c r="H89" i="25" s="1"/>
  <c r="I3" i="31"/>
  <c r="J3" i="31" s="1"/>
  <c r="K3" i="31" s="1"/>
  <c r="L3" i="31" s="1"/>
  <c r="M3" i="31" s="1"/>
  <c r="N3" i="31" s="1"/>
  <c r="I3" i="36"/>
  <c r="J3" i="36" s="1"/>
  <c r="K3" i="36" s="1"/>
  <c r="L3" i="36" s="1"/>
  <c r="M3" i="36" s="1"/>
  <c r="N3" i="36" s="1"/>
  <c r="Z25" i="34"/>
  <c r="Z26" i="34"/>
  <c r="Z27" i="34"/>
  <c r="Z28" i="34"/>
  <c r="Z29" i="34"/>
  <c r="N20" i="33"/>
  <c r="C19" i="34"/>
  <c r="C45" i="38" s="1"/>
  <c r="C4" i="34"/>
  <c r="C21" i="34" s="1"/>
  <c r="Z32" i="34" s="1"/>
  <c r="D8" i="25"/>
  <c r="D7" i="25"/>
  <c r="D83" i="25" s="1"/>
  <c r="D6" i="25"/>
  <c r="D77" i="25" s="1"/>
  <c r="E8" i="25"/>
  <c r="E7" i="25"/>
  <c r="E83" i="25" s="1"/>
  <c r="E6" i="25"/>
  <c r="E77" i="25" s="1"/>
  <c r="F8" i="25"/>
  <c r="F7" i="25"/>
  <c r="F83" i="25" s="1"/>
  <c r="G8" i="25"/>
  <c r="G7" i="25"/>
  <c r="G83" i="25" s="1"/>
  <c r="F6" i="25"/>
  <c r="F77" i="25" s="1"/>
  <c r="G6" i="25"/>
  <c r="G77" i="25" s="1"/>
  <c r="B30" i="30"/>
  <c r="C111" i="25"/>
  <c r="C119" i="25" s="1"/>
  <c r="C112" i="25"/>
  <c r="C120" i="25" s="1"/>
  <c r="C113" i="25"/>
  <c r="C121" i="25" s="1"/>
  <c r="C114" i="25"/>
  <c r="C122" i="25" s="1"/>
  <c r="C115" i="25"/>
  <c r="C123" i="25" s="1"/>
  <c r="C110" i="25"/>
  <c r="C118" i="25" s="1"/>
  <c r="C109" i="25"/>
  <c r="C117" i="25" s="1"/>
  <c r="B16" i="25"/>
  <c r="B15" i="25"/>
  <c r="B14" i="25"/>
  <c r="E104" i="34" l="1"/>
  <c r="E101" i="34"/>
  <c r="E106" i="34"/>
  <c r="D106" i="34"/>
  <c r="H13" i="30"/>
  <c r="H20" i="33" s="1"/>
  <c r="H32" i="33"/>
  <c r="H21" i="33"/>
  <c r="H5" i="32" s="1"/>
  <c r="H4" i="31"/>
  <c r="I3" i="33"/>
  <c r="J3" i="33" s="1"/>
  <c r="K3" i="33" s="1"/>
  <c r="L3" i="33" s="1"/>
  <c r="M3" i="33" s="1"/>
  <c r="N3" i="33" s="1"/>
  <c r="H18" i="31"/>
  <c r="H94" i="25"/>
  <c r="H93" i="25" s="1"/>
  <c r="H95" i="25" s="1"/>
  <c r="H19" i="25" s="1"/>
  <c r="H26" i="30"/>
  <c r="Z30" i="34"/>
  <c r="H32" i="34"/>
  <c r="I32" i="34"/>
  <c r="J32" i="34"/>
  <c r="K32" i="34"/>
  <c r="M32" i="34"/>
  <c r="L32" i="34"/>
  <c r="G32" i="34"/>
  <c r="B28" i="30"/>
  <c r="I10" i="8"/>
  <c r="D21" i="31"/>
  <c r="D24" i="30" s="1"/>
  <c r="H34" i="31" l="1"/>
  <c r="H18" i="25"/>
  <c r="D117" i="25"/>
  <c r="E117" i="25"/>
  <c r="F117" i="25"/>
  <c r="G117" i="25"/>
  <c r="D109" i="25"/>
  <c r="E109" i="25"/>
  <c r="F109" i="25"/>
  <c r="G109" i="25"/>
  <c r="D103" i="25"/>
  <c r="E103" i="25"/>
  <c r="F103" i="25"/>
  <c r="G103" i="25"/>
  <c r="D104" i="25"/>
  <c r="E104" i="25"/>
  <c r="F104" i="25"/>
  <c r="G104" i="25"/>
  <c r="D105" i="25"/>
  <c r="E105" i="25"/>
  <c r="F105" i="25"/>
  <c r="G105" i="25"/>
  <c r="D106" i="25"/>
  <c r="E106" i="25"/>
  <c r="D107" i="25"/>
  <c r="D102" i="25" s="1"/>
  <c r="E107" i="25"/>
  <c r="H45" i="25" l="1"/>
  <c r="H49" i="25"/>
  <c r="H44" i="25"/>
  <c r="H25" i="25"/>
  <c r="H47" i="25"/>
  <c r="H48" i="25"/>
  <c r="H50" i="25"/>
  <c r="H46" i="25"/>
  <c r="H32" i="25"/>
  <c r="H30" i="25"/>
  <c r="H52" i="25"/>
  <c r="H51" i="25"/>
  <c r="H29" i="25"/>
  <c r="H28" i="25"/>
  <c r="H27" i="25"/>
  <c r="H26" i="25"/>
  <c r="E102" i="25"/>
  <c r="G44" i="7"/>
  <c r="E44" i="7"/>
  <c r="D9" i="7"/>
  <c r="E9" i="7"/>
  <c r="F9" i="7"/>
  <c r="G9" i="7"/>
  <c r="H63" i="25" l="1"/>
  <c r="H33" i="25"/>
  <c r="H36" i="25"/>
  <c r="G37" i="5"/>
  <c r="H38" i="5"/>
  <c r="H37" i="5"/>
  <c r="H34" i="5"/>
  <c r="H162" i="5"/>
  <c r="G107" i="25" s="1"/>
  <c r="H161" i="5"/>
  <c r="G106" i="25" s="1"/>
  <c r="G102" i="25" s="1"/>
  <c r="H147" i="5"/>
  <c r="H142" i="5"/>
  <c r="H118" i="5"/>
  <c r="H109" i="5"/>
  <c r="H65" i="5"/>
  <c r="H61" i="5"/>
  <c r="H49" i="5"/>
  <c r="H45" i="5"/>
  <c r="H23" i="5"/>
  <c r="G162" i="5"/>
  <c r="F107" i="25" s="1"/>
  <c r="G161" i="5"/>
  <c r="F106" i="25" s="1"/>
  <c r="E80" i="5"/>
  <c r="F80" i="5"/>
  <c r="G80" i="5"/>
  <c r="H80" i="5"/>
  <c r="E76" i="5"/>
  <c r="F76" i="5"/>
  <c r="G76" i="5"/>
  <c r="H76" i="5"/>
  <c r="G49" i="5"/>
  <c r="G45" i="5"/>
  <c r="E117" i="5"/>
  <c r="E108" i="5"/>
  <c r="F63" i="5"/>
  <c r="F49" i="5"/>
  <c r="F46" i="5"/>
  <c r="F45" i="5"/>
  <c r="H64" i="25" l="1"/>
  <c r="H68" i="25"/>
  <c r="H70" i="25"/>
  <c r="F102" i="25"/>
  <c r="E37" i="5"/>
  <c r="E55" i="5"/>
  <c r="F55" i="5"/>
  <c r="G55" i="5"/>
  <c r="H55" i="5"/>
  <c r="E51" i="5"/>
  <c r="F51" i="5"/>
  <c r="G51" i="5"/>
  <c r="H51" i="5"/>
  <c r="H71" i="25" l="1"/>
  <c r="E84" i="5"/>
  <c r="F84" i="5" l="1"/>
  <c r="G84" i="5"/>
  <c r="H84" i="5"/>
  <c r="E129" i="5"/>
  <c r="E174" i="5" s="1"/>
  <c r="F129" i="5"/>
  <c r="G129" i="5"/>
  <c r="H129" i="5"/>
  <c r="E118" i="5"/>
  <c r="F118" i="5"/>
  <c r="G118" i="5"/>
  <c r="E122" i="5"/>
  <c r="F122" i="5"/>
  <c r="G122" i="5"/>
  <c r="H122" i="5"/>
  <c r="E157" i="5" l="1"/>
  <c r="F157" i="5"/>
  <c r="G157" i="5"/>
  <c r="H157" i="5"/>
  <c r="E148" i="5"/>
  <c r="F148" i="5"/>
  <c r="G148" i="5"/>
  <c r="H148" i="5"/>
  <c r="E138" i="5"/>
  <c r="F138" i="5"/>
  <c r="G138" i="5"/>
  <c r="H138" i="5"/>
  <c r="E115" i="5"/>
  <c r="F115" i="5"/>
  <c r="G115" i="5"/>
  <c r="H115" i="5"/>
  <c r="E109" i="5"/>
  <c r="F109" i="5"/>
  <c r="G109" i="5"/>
  <c r="E99" i="5"/>
  <c r="F99" i="5"/>
  <c r="G99" i="5"/>
  <c r="H99" i="5"/>
  <c r="E94" i="5"/>
  <c r="F94" i="5"/>
  <c r="G94" i="5"/>
  <c r="H94" i="5"/>
  <c r="E73" i="5" l="1"/>
  <c r="F73" i="5"/>
  <c r="G73" i="5"/>
  <c r="H73" i="5"/>
  <c r="E67" i="5"/>
  <c r="F67" i="5"/>
  <c r="G67" i="5"/>
  <c r="H67" i="5"/>
  <c r="E63" i="5"/>
  <c r="G63" i="5"/>
  <c r="H63" i="5"/>
  <c r="E59" i="5"/>
  <c r="F59" i="5"/>
  <c r="G59" i="5"/>
  <c r="H59" i="5"/>
  <c r="E47" i="5"/>
  <c r="F47" i="5"/>
  <c r="G47" i="5"/>
  <c r="H47" i="5"/>
  <c r="E43" i="5"/>
  <c r="F43" i="5"/>
  <c r="G43" i="5"/>
  <c r="H43" i="5"/>
  <c r="E38" i="5"/>
  <c r="F38" i="5"/>
  <c r="G38" i="5"/>
  <c r="E33" i="5"/>
  <c r="F33" i="5"/>
  <c r="G33" i="5"/>
  <c r="H33" i="5"/>
  <c r="E23" i="5"/>
  <c r="F23" i="5"/>
  <c r="G23" i="5"/>
  <c r="E18" i="5"/>
  <c r="F18" i="5"/>
  <c r="G18" i="5"/>
  <c r="H18" i="5"/>
  <c r="E11" i="5"/>
  <c r="E166" i="5" s="1"/>
  <c r="F11" i="5"/>
  <c r="F166" i="5" s="1"/>
  <c r="G11" i="5"/>
  <c r="G166" i="5" s="1"/>
  <c r="H11" i="5"/>
  <c r="H166" i="5" s="1"/>
  <c r="E6" i="5"/>
  <c r="F6" i="5"/>
  <c r="G6" i="5"/>
  <c r="H6" i="5"/>
  <c r="E2" i="5" l="1"/>
  <c r="F2" i="5"/>
  <c r="G2" i="5"/>
  <c r="H2" i="5"/>
  <c r="E2" i="4"/>
  <c r="F2" i="4"/>
  <c r="G2" i="4"/>
  <c r="H2" i="4"/>
  <c r="E2" i="3"/>
  <c r="F2" i="3"/>
  <c r="G2" i="3"/>
  <c r="H2" i="3"/>
  <c r="D3" i="25"/>
  <c r="E3" i="25"/>
  <c r="F3" i="25"/>
  <c r="G3" i="25"/>
  <c r="G2" i="36" l="1"/>
  <c r="I2" i="36" s="1"/>
  <c r="J2" i="36" s="1"/>
  <c r="K2" i="36" s="1"/>
  <c r="L2" i="36" s="1"/>
  <c r="M2" i="36" s="1"/>
  <c r="G21" i="31" l="1"/>
  <c r="G24" i="30" l="1"/>
  <c r="G96" i="25"/>
  <c r="G17" i="7"/>
  <c r="N18" i="7"/>
  <c r="M18" i="7"/>
  <c r="L18" i="7"/>
  <c r="K18" i="7"/>
  <c r="J18" i="7"/>
  <c r="I18" i="7"/>
  <c r="I32" i="7" l="1"/>
  <c r="J32" i="7" s="1"/>
  <c r="K32" i="7" s="1"/>
  <c r="L32" i="7" s="1"/>
  <c r="M32" i="7" s="1"/>
  <c r="N32" i="7" s="1"/>
  <c r="F136" i="35" l="1"/>
  <c r="F135" i="35"/>
  <c r="F134" i="35"/>
  <c r="F133" i="35"/>
  <c r="F132" i="35"/>
  <c r="F131" i="35"/>
  <c r="F130" i="35"/>
  <c r="N136" i="35"/>
  <c r="M136" i="35"/>
  <c r="L136" i="35"/>
  <c r="K136" i="35"/>
  <c r="J136" i="35"/>
  <c r="I136" i="35"/>
  <c r="H136" i="35"/>
  <c r="G136" i="35"/>
  <c r="E136" i="35"/>
  <c r="N135" i="35"/>
  <c r="M135" i="35"/>
  <c r="L135" i="35"/>
  <c r="K135" i="35"/>
  <c r="J135" i="35"/>
  <c r="I135" i="35"/>
  <c r="H135" i="35"/>
  <c r="G135" i="35"/>
  <c r="E135" i="35"/>
  <c r="N134" i="35"/>
  <c r="M134" i="35"/>
  <c r="L134" i="35"/>
  <c r="K134" i="35"/>
  <c r="J134" i="35"/>
  <c r="I134" i="35"/>
  <c r="H134" i="35"/>
  <c r="G134" i="35"/>
  <c r="E134" i="35"/>
  <c r="N133" i="35"/>
  <c r="M133" i="35"/>
  <c r="L133" i="35"/>
  <c r="K133" i="35"/>
  <c r="J133" i="35"/>
  <c r="I133" i="35"/>
  <c r="H133" i="35"/>
  <c r="G133" i="35"/>
  <c r="E133" i="35"/>
  <c r="N132" i="35"/>
  <c r="M132" i="35"/>
  <c r="L132" i="35"/>
  <c r="K132" i="35"/>
  <c r="J132" i="35"/>
  <c r="I132" i="35"/>
  <c r="H132" i="35"/>
  <c r="G132" i="35"/>
  <c r="E132" i="35"/>
  <c r="N131" i="35"/>
  <c r="M131" i="35"/>
  <c r="L131" i="35"/>
  <c r="K131" i="35"/>
  <c r="J131" i="35"/>
  <c r="I131" i="35"/>
  <c r="H131" i="35"/>
  <c r="G131" i="35"/>
  <c r="E131" i="35"/>
  <c r="N130" i="35"/>
  <c r="M130" i="35"/>
  <c r="L130" i="35"/>
  <c r="K130" i="35"/>
  <c r="J130" i="35"/>
  <c r="I130" i="35"/>
  <c r="H130" i="35"/>
  <c r="G130" i="35"/>
  <c r="E130" i="35"/>
  <c r="P11" i="8"/>
  <c r="G10" i="33"/>
  <c r="P12" i="8" l="1"/>
  <c r="G15" i="32"/>
  <c r="G19" i="32" l="1"/>
  <c r="G14" i="32"/>
  <c r="G22" i="31"/>
  <c r="H41" i="31" s="1"/>
  <c r="F22" i="31"/>
  <c r="E22" i="31"/>
  <c r="D22" i="31"/>
  <c r="E126" i="25"/>
  <c r="F126" i="25"/>
  <c r="G126" i="25"/>
  <c r="G4" i="32"/>
  <c r="G10" i="31"/>
  <c r="H39" i="31" s="1"/>
  <c r="G62" i="33" l="1"/>
  <c r="F62" i="33"/>
  <c r="E62" i="33"/>
  <c r="D62" i="33"/>
  <c r="G61" i="33"/>
  <c r="F61" i="33"/>
  <c r="E61" i="33"/>
  <c r="D61" i="33"/>
  <c r="G60" i="33"/>
  <c r="F60" i="33"/>
  <c r="E60" i="33"/>
  <c r="D60" i="33"/>
  <c r="G59" i="33"/>
  <c r="F59" i="33"/>
  <c r="E59" i="33"/>
  <c r="D59" i="33"/>
  <c r="G10" i="32"/>
  <c r="F10" i="32"/>
  <c r="E10" i="32"/>
  <c r="D10" i="32"/>
  <c r="G31" i="33"/>
  <c r="F31" i="33"/>
  <c r="E31" i="33"/>
  <c r="D31" i="33"/>
  <c r="G27" i="33"/>
  <c r="F27" i="33"/>
  <c r="E27" i="33"/>
  <c r="D27" i="33"/>
  <c r="G25" i="33"/>
  <c r="F25" i="33"/>
  <c r="E25" i="33"/>
  <c r="D25" i="33"/>
  <c r="G19" i="33"/>
  <c r="F19" i="33"/>
  <c r="E19" i="33"/>
  <c r="D19" i="33"/>
  <c r="F14" i="33"/>
  <c r="E14" i="33"/>
  <c r="D14" i="33"/>
  <c r="G13" i="33"/>
  <c r="F13" i="33"/>
  <c r="E13" i="33"/>
  <c r="D13" i="33"/>
  <c r="G12" i="33"/>
  <c r="F12" i="33"/>
  <c r="E12" i="33"/>
  <c r="D12" i="33"/>
  <c r="G11" i="33"/>
  <c r="F11" i="33"/>
  <c r="E11" i="33"/>
  <c r="D11" i="33"/>
  <c r="F10" i="33"/>
  <c r="E10" i="33"/>
  <c r="D10" i="33"/>
  <c r="G8" i="33"/>
  <c r="F8" i="33"/>
  <c r="E8" i="33"/>
  <c r="D8" i="33"/>
  <c r="G7" i="33"/>
  <c r="F7" i="33"/>
  <c r="E7" i="33"/>
  <c r="D7" i="33"/>
  <c r="G5" i="33"/>
  <c r="F5" i="33"/>
  <c r="E5" i="33"/>
  <c r="D5" i="33"/>
  <c r="G4" i="33"/>
  <c r="G19" i="30" s="1"/>
  <c r="F4" i="33"/>
  <c r="F6" i="30" s="1"/>
  <c r="E4" i="33"/>
  <c r="E6" i="30" s="1"/>
  <c r="D4" i="33"/>
  <c r="D6" i="30" s="1"/>
  <c r="I2" i="33"/>
  <c r="J2" i="33" s="1"/>
  <c r="K2" i="33" s="1"/>
  <c r="L2" i="33" s="1"/>
  <c r="M2" i="33" s="1"/>
  <c r="N2" i="33" s="1"/>
  <c r="F14" i="32"/>
  <c r="E14" i="32"/>
  <c r="D14" i="32"/>
  <c r="F19" i="32"/>
  <c r="E19" i="32"/>
  <c r="G18" i="32"/>
  <c r="F18" i="32"/>
  <c r="E18" i="32"/>
  <c r="G17" i="32"/>
  <c r="F17" i="32"/>
  <c r="E17" i="32"/>
  <c r="D17" i="32"/>
  <c r="G16" i="32"/>
  <c r="F16" i="32"/>
  <c r="E16" i="32"/>
  <c r="D16" i="32"/>
  <c r="F15" i="32"/>
  <c r="E15" i="32"/>
  <c r="D15" i="32"/>
  <c r="G13" i="32"/>
  <c r="F13" i="32"/>
  <c r="E13" i="32"/>
  <c r="D13" i="32"/>
  <c r="G12" i="32"/>
  <c r="F12" i="32"/>
  <c r="E12" i="32"/>
  <c r="D12" i="32"/>
  <c r="G11" i="32"/>
  <c r="F11" i="32"/>
  <c r="E11" i="32"/>
  <c r="D11" i="32"/>
  <c r="F4" i="32"/>
  <c r="E4" i="32"/>
  <c r="D4" i="32"/>
  <c r="G6" i="32"/>
  <c r="F6" i="32"/>
  <c r="E6" i="32"/>
  <c r="D6" i="32"/>
  <c r="G27" i="31"/>
  <c r="I27" i="31" s="1"/>
  <c r="G32" i="31"/>
  <c r="I32" i="31" s="1"/>
  <c r="J32" i="31" s="1"/>
  <c r="K32" i="31" s="1"/>
  <c r="L32" i="31" s="1"/>
  <c r="M32" i="31" s="1"/>
  <c r="N32" i="31" s="1"/>
  <c r="F32" i="31"/>
  <c r="E32" i="31"/>
  <c r="D32" i="31"/>
  <c r="G31" i="31"/>
  <c r="F31" i="31"/>
  <c r="E31" i="31"/>
  <c r="D31" i="31"/>
  <c r="G30" i="31"/>
  <c r="F30" i="31"/>
  <c r="E30" i="31"/>
  <c r="D30" i="31"/>
  <c r="G29" i="31"/>
  <c r="I29" i="31" s="1"/>
  <c r="J29" i="31" s="1"/>
  <c r="K29" i="31" s="1"/>
  <c r="L29" i="31" s="1"/>
  <c r="M29" i="31" s="1"/>
  <c r="N29" i="31" s="1"/>
  <c r="F29" i="31"/>
  <c r="E29" i="31"/>
  <c r="D29" i="31"/>
  <c r="G28" i="31"/>
  <c r="I28" i="31" s="1"/>
  <c r="J28" i="31" s="1"/>
  <c r="K28" i="31" s="1"/>
  <c r="L28" i="31" s="1"/>
  <c r="M28" i="31" s="1"/>
  <c r="N28" i="31" s="1"/>
  <c r="F28" i="31"/>
  <c r="E28" i="31"/>
  <c r="D28" i="31"/>
  <c r="F27" i="31"/>
  <c r="E27" i="31"/>
  <c r="D27" i="31"/>
  <c r="G25" i="31"/>
  <c r="I25" i="31" s="1"/>
  <c r="J25" i="31" s="1"/>
  <c r="K25" i="31" s="1"/>
  <c r="L25" i="31" s="1"/>
  <c r="M25" i="31" s="1"/>
  <c r="N25" i="31" s="1"/>
  <c r="F25" i="31"/>
  <c r="E25" i="31"/>
  <c r="D25" i="31"/>
  <c r="G24" i="31"/>
  <c r="F24" i="31"/>
  <c r="F25" i="30" s="1"/>
  <c r="E24" i="31"/>
  <c r="E25" i="30" s="1"/>
  <c r="D24" i="31"/>
  <c r="F21" i="31"/>
  <c r="F24" i="30" s="1"/>
  <c r="E21" i="31"/>
  <c r="E24" i="30" s="1"/>
  <c r="G20" i="31"/>
  <c r="F20" i="31"/>
  <c r="E20" i="31"/>
  <c r="D20" i="31"/>
  <c r="D18" i="30" s="1"/>
  <c r="G17" i="31"/>
  <c r="I17" i="31" s="1"/>
  <c r="J17" i="31" s="1"/>
  <c r="K17" i="31" s="1"/>
  <c r="L17" i="31" s="1"/>
  <c r="M17" i="31" s="1"/>
  <c r="N17" i="31" s="1"/>
  <c r="F17" i="31"/>
  <c r="E17" i="31"/>
  <c r="D17" i="31"/>
  <c r="G16" i="31"/>
  <c r="F16" i="31"/>
  <c r="E16" i="31"/>
  <c r="D16" i="31"/>
  <c r="G13" i="31"/>
  <c r="F13" i="31"/>
  <c r="E13" i="31"/>
  <c r="D13" i="31"/>
  <c r="F10" i="31"/>
  <c r="E10" i="31"/>
  <c r="D10" i="31"/>
  <c r="G9" i="31"/>
  <c r="F9" i="31"/>
  <c r="E9" i="31"/>
  <c r="D9" i="31"/>
  <c r="G8" i="31"/>
  <c r="F8" i="31"/>
  <c r="E8" i="31"/>
  <c r="D8" i="31"/>
  <c r="G7" i="31"/>
  <c r="F7" i="31"/>
  <c r="E7" i="31"/>
  <c r="D7" i="31"/>
  <c r="G6" i="31"/>
  <c r="F6" i="31"/>
  <c r="G33" i="33" s="1"/>
  <c r="E6" i="31"/>
  <c r="F33" i="33" s="1"/>
  <c r="D6" i="31"/>
  <c r="E33" i="33" s="1"/>
  <c r="I2" i="32"/>
  <c r="J2" i="32" s="1"/>
  <c r="K2" i="32" s="1"/>
  <c r="L2" i="32" s="1"/>
  <c r="M2" i="32" s="1"/>
  <c r="N2" i="32" s="1"/>
  <c r="I2" i="31"/>
  <c r="J2" i="31" s="1"/>
  <c r="K2" i="31" s="1"/>
  <c r="L2" i="31" s="1"/>
  <c r="M2" i="31" s="1"/>
  <c r="N2" i="31" s="1"/>
  <c r="H46" i="31" l="1"/>
  <c r="H40" i="31"/>
  <c r="H38" i="31"/>
  <c r="H45" i="31"/>
  <c r="C41" i="34"/>
  <c r="H33" i="33"/>
  <c r="H37" i="33" s="1"/>
  <c r="H37" i="31"/>
  <c r="H44" i="31"/>
  <c r="E11" i="30"/>
  <c r="E19" i="30"/>
  <c r="E16" i="30"/>
  <c r="D19" i="30"/>
  <c r="F7" i="30"/>
  <c r="D11" i="30"/>
  <c r="E10" i="30"/>
  <c r="F19" i="30"/>
  <c r="F9" i="30"/>
  <c r="F20" i="30"/>
  <c r="E18" i="30"/>
  <c r="E12" i="30"/>
  <c r="E9" i="30"/>
  <c r="G9" i="30"/>
  <c r="E21" i="30"/>
  <c r="G10" i="30"/>
  <c r="F18" i="30"/>
  <c r="G11" i="30"/>
  <c r="G18" i="30"/>
  <c r="E8" i="30"/>
  <c r="E20" i="30"/>
  <c r="D16" i="30"/>
  <c r="E7" i="30"/>
  <c r="D10" i="30"/>
  <c r="F16" i="30"/>
  <c r="G6" i="30"/>
  <c r="H7" i="30" s="1"/>
  <c r="G12" i="30"/>
  <c r="F10" i="30"/>
  <c r="J27" i="31"/>
  <c r="E17" i="30"/>
  <c r="G25" i="30"/>
  <c r="G8" i="30"/>
  <c r="G20" i="30"/>
  <c r="C42" i="34"/>
  <c r="I7" i="31"/>
  <c r="J7" i="31" s="1"/>
  <c r="K7" i="31" s="1"/>
  <c r="L7" i="31" s="1"/>
  <c r="M7" i="31" s="1"/>
  <c r="N7" i="31" s="1"/>
  <c r="F11" i="30"/>
  <c r="D12" i="30"/>
  <c r="F12" i="30"/>
  <c r="G17" i="30"/>
  <c r="D21" i="30"/>
  <c r="F8" i="30"/>
  <c r="G16" i="30"/>
  <c r="D23" i="31"/>
  <c r="D25" i="30"/>
  <c r="I31" i="31"/>
  <c r="J31" i="31" s="1"/>
  <c r="K31" i="31" s="1"/>
  <c r="L31" i="31" s="1"/>
  <c r="M31" i="31" s="1"/>
  <c r="N31" i="31" s="1"/>
  <c r="G21" i="30"/>
  <c r="D20" i="30"/>
  <c r="I16" i="31"/>
  <c r="J16" i="31" s="1"/>
  <c r="K16" i="31" s="1"/>
  <c r="L16" i="31" s="1"/>
  <c r="M16" i="31" s="1"/>
  <c r="N16" i="31" s="1"/>
  <c r="C43" i="34"/>
  <c r="D8" i="30"/>
  <c r="D17" i="30"/>
  <c r="F17" i="30"/>
  <c r="F21" i="30"/>
  <c r="D9" i="30"/>
  <c r="D9" i="32"/>
  <c r="F47" i="31"/>
  <c r="F30" i="33"/>
  <c r="F9" i="32"/>
  <c r="E9" i="32"/>
  <c r="E46" i="31"/>
  <c r="F46" i="31"/>
  <c r="G46" i="31"/>
  <c r="D48" i="31"/>
  <c r="E48" i="31"/>
  <c r="D12" i="36"/>
  <c r="D7" i="36"/>
  <c r="D8" i="36" s="1"/>
  <c r="F48" i="31"/>
  <c r="E12" i="36"/>
  <c r="E7" i="36"/>
  <c r="E8" i="36" s="1"/>
  <c r="F12" i="36"/>
  <c r="F7" i="36"/>
  <c r="F8" i="36" s="1"/>
  <c r="D9" i="36"/>
  <c r="D10" i="36" s="1"/>
  <c r="D5" i="36"/>
  <c r="D6" i="36" s="1"/>
  <c r="E9" i="36"/>
  <c r="E10" i="36" s="1"/>
  <c r="E5" i="36"/>
  <c r="E6" i="36" s="1"/>
  <c r="F9" i="36"/>
  <c r="F10" i="36" s="1"/>
  <c r="F5" i="36"/>
  <c r="F6" i="36" s="1"/>
  <c r="D47" i="31"/>
  <c r="D30" i="33"/>
  <c r="G9" i="32"/>
  <c r="E57" i="33"/>
  <c r="G48" i="31"/>
  <c r="G47" i="31"/>
  <c r="E45" i="31"/>
  <c r="F45" i="31"/>
  <c r="G45" i="31"/>
  <c r="E47" i="31"/>
  <c r="E44" i="31"/>
  <c r="F44" i="31"/>
  <c r="G44" i="31"/>
  <c r="E39" i="31"/>
  <c r="G39" i="31"/>
  <c r="G14" i="31"/>
  <c r="G11" i="31" s="1"/>
  <c r="F38" i="31"/>
  <c r="G38" i="31"/>
  <c r="F40" i="31"/>
  <c r="E23" i="31"/>
  <c r="E20" i="32"/>
  <c r="F20" i="32"/>
  <c r="G20" i="32"/>
  <c r="G26" i="31"/>
  <c r="E26" i="31"/>
  <c r="D14" i="31"/>
  <c r="D11" i="31" s="1"/>
  <c r="G23" i="31"/>
  <c r="D26" i="31"/>
  <c r="F26" i="31"/>
  <c r="G40" i="31"/>
  <c r="F39" i="31"/>
  <c r="E38" i="31"/>
  <c r="E26" i="33"/>
  <c r="E30" i="33"/>
  <c r="G30" i="33"/>
  <c r="E19" i="31"/>
  <c r="F23" i="31"/>
  <c r="F19" i="31" s="1"/>
  <c r="D5" i="31"/>
  <c r="F14" i="31"/>
  <c r="F11" i="31" s="1"/>
  <c r="F5" i="31"/>
  <c r="E37" i="31"/>
  <c r="E40" i="31"/>
  <c r="G19" i="31"/>
  <c r="F37" i="31"/>
  <c r="F57" i="33"/>
  <c r="G37" i="31"/>
  <c r="G57" i="33"/>
  <c r="F26" i="33"/>
  <c r="G26" i="33"/>
  <c r="D24" i="33"/>
  <c r="G35" i="33"/>
  <c r="G34" i="33" s="1"/>
  <c r="G28" i="33"/>
  <c r="F35" i="33"/>
  <c r="F34" i="33" s="1"/>
  <c r="E35" i="33"/>
  <c r="E34" i="33" s="1"/>
  <c r="D35" i="33"/>
  <c r="D34" i="33" s="1"/>
  <c r="E6" i="33"/>
  <c r="E24" i="33"/>
  <c r="F24" i="33"/>
  <c r="G24" i="33"/>
  <c r="D28" i="33"/>
  <c r="E28" i="33"/>
  <c r="D26" i="33"/>
  <c r="F28" i="33"/>
  <c r="D19" i="31"/>
  <c r="G6" i="33"/>
  <c r="D6" i="33"/>
  <c r="F6" i="33"/>
  <c r="E41" i="31"/>
  <c r="E5" i="31"/>
  <c r="E14" i="31"/>
  <c r="E11" i="31" s="1"/>
  <c r="G5" i="31"/>
  <c r="H36" i="31" l="1"/>
  <c r="H7" i="32" s="1"/>
  <c r="H8" i="32" s="1"/>
  <c r="G7" i="30"/>
  <c r="K27" i="31"/>
  <c r="F32" i="33"/>
  <c r="F37" i="33" s="1"/>
  <c r="E32" i="33"/>
  <c r="E37" i="33" s="1"/>
  <c r="G32" i="33"/>
  <c r="G37" i="33" s="1"/>
  <c r="D18" i="36"/>
  <c r="E18" i="36"/>
  <c r="G4" i="31"/>
  <c r="F17" i="36"/>
  <c r="F16" i="36"/>
  <c r="F15" i="36"/>
  <c r="F11" i="36"/>
  <c r="D17" i="36"/>
  <c r="D16" i="36"/>
  <c r="D15" i="36"/>
  <c r="D11" i="36"/>
  <c r="F9" i="33"/>
  <c r="E25" i="36"/>
  <c r="D9" i="33"/>
  <c r="G9" i="33"/>
  <c r="G16" i="33" s="1"/>
  <c r="G13" i="30" s="1"/>
  <c r="F25" i="36"/>
  <c r="E9" i="33"/>
  <c r="D25" i="36"/>
  <c r="E17" i="36"/>
  <c r="E16" i="36"/>
  <c r="E15" i="36"/>
  <c r="E11" i="36"/>
  <c r="E22" i="36"/>
  <c r="E21" i="36"/>
  <c r="D22" i="36"/>
  <c r="D21" i="36"/>
  <c r="F22" i="36"/>
  <c r="F21" i="36"/>
  <c r="F18" i="36"/>
  <c r="E18" i="31"/>
  <c r="D18" i="31"/>
  <c r="G18" i="31"/>
  <c r="D4" i="31"/>
  <c r="G41" i="31"/>
  <c r="G36" i="31" s="1"/>
  <c r="G7" i="32" s="1"/>
  <c r="E36" i="31"/>
  <c r="F41" i="31"/>
  <c r="F36" i="31" s="1"/>
  <c r="F18" i="31"/>
  <c r="F4" i="31"/>
  <c r="E4" i="31"/>
  <c r="N24" i="31" l="1"/>
  <c r="N11" i="33"/>
  <c r="N12" i="33" s="1"/>
  <c r="M29" i="34" s="1"/>
  <c r="K24" i="31"/>
  <c r="K11" i="33"/>
  <c r="K12" i="33" s="1"/>
  <c r="J29" i="34" s="1"/>
  <c r="M24" i="31"/>
  <c r="M11" i="33"/>
  <c r="M12" i="33" s="1"/>
  <c r="L29" i="34" s="1"/>
  <c r="J24" i="31"/>
  <c r="J11" i="33"/>
  <c r="J12" i="33" s="1"/>
  <c r="I29" i="34" s="1"/>
  <c r="I6" i="30"/>
  <c r="L24" i="31"/>
  <c r="L11" i="33"/>
  <c r="L12" i="33" s="1"/>
  <c r="K29" i="34" s="1"/>
  <c r="L27" i="31"/>
  <c r="G29" i="34"/>
  <c r="I24" i="31"/>
  <c r="I11" i="33"/>
  <c r="I12" i="33" s="1"/>
  <c r="H29" i="34" s="1"/>
  <c r="G34" i="31"/>
  <c r="F31" i="36"/>
  <c r="F27" i="36"/>
  <c r="E34" i="31"/>
  <c r="D23" i="36"/>
  <c r="D20" i="36"/>
  <c r="E13" i="36"/>
  <c r="F34" i="31"/>
  <c r="E23" i="36"/>
  <c r="E20" i="36"/>
  <c r="F13" i="36"/>
  <c r="F7" i="32"/>
  <c r="E7" i="32"/>
  <c r="D13" i="36"/>
  <c r="D34" i="31"/>
  <c r="P8" i="8"/>
  <c r="P10" i="8" s="1"/>
  <c r="E16" i="33"/>
  <c r="E13" i="30" s="1"/>
  <c r="D29" i="36"/>
  <c r="D26" i="36"/>
  <c r="F29" i="36"/>
  <c r="F26" i="36"/>
  <c r="D16" i="33"/>
  <c r="D13" i="30" s="1"/>
  <c r="F16" i="33"/>
  <c r="F13" i="30" s="1"/>
  <c r="E29" i="36"/>
  <c r="E26" i="36"/>
  <c r="F23" i="36"/>
  <c r="F20" i="36"/>
  <c r="G17" i="33"/>
  <c r="G21" i="33"/>
  <c r="G26" i="30" s="1"/>
  <c r="M19" i="32" l="1"/>
  <c r="M23" i="31"/>
  <c r="J19" i="32"/>
  <c r="J23" i="31"/>
  <c r="L19" i="32"/>
  <c r="L23" i="31"/>
  <c r="K19" i="32"/>
  <c r="K23" i="31"/>
  <c r="G27" i="34"/>
  <c r="I19" i="32"/>
  <c r="I23" i="31"/>
  <c r="I4" i="33"/>
  <c r="H5" i="38" s="1"/>
  <c r="H6" i="38" s="1"/>
  <c r="J6" i="30"/>
  <c r="N19" i="32"/>
  <c r="N23" i="31"/>
  <c r="M27" i="31"/>
  <c r="F32" i="36"/>
  <c r="F30" i="36"/>
  <c r="F28" i="36"/>
  <c r="F17" i="33"/>
  <c r="E31" i="36"/>
  <c r="E27" i="36"/>
  <c r="F21" i="33"/>
  <c r="F26" i="30" s="1"/>
  <c r="D17" i="33"/>
  <c r="D21" i="33"/>
  <c r="D26" i="30" s="1"/>
  <c r="D31" i="36"/>
  <c r="D27" i="36"/>
  <c r="E17" i="33"/>
  <c r="E21" i="33"/>
  <c r="E26" i="30" s="1"/>
  <c r="G5" i="32"/>
  <c r="G26" i="34" l="1"/>
  <c r="N27" i="31"/>
  <c r="K6" i="30"/>
  <c r="J4" i="33"/>
  <c r="I5" i="38" s="1"/>
  <c r="I6" i="38" s="1"/>
  <c r="I7" i="33"/>
  <c r="I22" i="31"/>
  <c r="I10" i="31"/>
  <c r="I5" i="33"/>
  <c r="I10" i="33"/>
  <c r="H10" i="38" s="1"/>
  <c r="I8" i="33"/>
  <c r="I10" i="32"/>
  <c r="I8" i="31"/>
  <c r="D32" i="36"/>
  <c r="D30" i="36"/>
  <c r="D28" i="36"/>
  <c r="E5" i="32"/>
  <c r="E8" i="32" s="1"/>
  <c r="D5" i="32"/>
  <c r="E32" i="36"/>
  <c r="E30" i="36"/>
  <c r="E28" i="36"/>
  <c r="F5" i="32"/>
  <c r="F8" i="32" s="1"/>
  <c r="G8" i="32"/>
  <c r="H7" i="36" l="1"/>
  <c r="H8" i="36" s="1"/>
  <c r="U75" i="36" s="1"/>
  <c r="H19" i="38"/>
  <c r="H20" i="38" s="1"/>
  <c r="I12" i="31"/>
  <c r="H12" i="36" s="1"/>
  <c r="U81" i="36" s="1"/>
  <c r="H36" i="38"/>
  <c r="H26" i="34"/>
  <c r="H35" i="38"/>
  <c r="I37" i="31"/>
  <c r="I6" i="33"/>
  <c r="I20" i="31"/>
  <c r="H9" i="36" s="1"/>
  <c r="H10" i="36" s="1"/>
  <c r="U77" i="36" s="1"/>
  <c r="I9" i="31"/>
  <c r="I38" i="31" s="1"/>
  <c r="K4" i="33"/>
  <c r="J5" i="38" s="1"/>
  <c r="J6" i="38" s="1"/>
  <c r="L6" i="30"/>
  <c r="I47" i="31"/>
  <c r="J5" i="33"/>
  <c r="J6" i="33" s="1"/>
  <c r="I7" i="38" s="1"/>
  <c r="I8" i="38" s="1"/>
  <c r="J7" i="33"/>
  <c r="J10" i="31"/>
  <c r="J10" i="33"/>
  <c r="I10" i="38" s="1"/>
  <c r="J22" i="31"/>
  <c r="J10" i="32"/>
  <c r="I36" i="38" s="1"/>
  <c r="J8" i="33"/>
  <c r="J8" i="31"/>
  <c r="I19" i="38" s="1"/>
  <c r="I20" i="38" s="1"/>
  <c r="I13" i="31"/>
  <c r="I39" i="31"/>
  <c r="I41" i="31"/>
  <c r="I48" i="31"/>
  <c r="I44" i="31"/>
  <c r="H27" i="34"/>
  <c r="I9" i="32"/>
  <c r="H33" i="38" s="1"/>
  <c r="D3" i="30"/>
  <c r="I26" i="34" l="1"/>
  <c r="I35" i="38"/>
  <c r="H25" i="36"/>
  <c r="U51" i="36" s="1"/>
  <c r="H7" i="38"/>
  <c r="H8" i="38" s="1"/>
  <c r="H5" i="36"/>
  <c r="H6" i="36" s="1"/>
  <c r="J13" i="31"/>
  <c r="I9" i="33"/>
  <c r="H9" i="38" s="1"/>
  <c r="J9" i="33"/>
  <c r="J44" i="31"/>
  <c r="J47" i="31"/>
  <c r="J20" i="31"/>
  <c r="J9" i="31"/>
  <c r="J38" i="31" s="1"/>
  <c r="I27" i="34"/>
  <c r="J9" i="32"/>
  <c r="I33" i="38" s="1"/>
  <c r="J41" i="31"/>
  <c r="J48" i="31"/>
  <c r="J39" i="31"/>
  <c r="L4" i="33"/>
  <c r="K5" i="38" s="1"/>
  <c r="K6" i="38" s="1"/>
  <c r="M6" i="30"/>
  <c r="I45" i="31"/>
  <c r="J12" i="31"/>
  <c r="K7" i="33"/>
  <c r="K10" i="33"/>
  <c r="J10" i="38" s="1"/>
  <c r="K10" i="31"/>
  <c r="K8" i="33"/>
  <c r="K22" i="31"/>
  <c r="K10" i="32"/>
  <c r="J36" i="38" s="1"/>
  <c r="K5" i="33"/>
  <c r="K8" i="31"/>
  <c r="I46" i="31"/>
  <c r="I40" i="31"/>
  <c r="I36" i="31" s="1"/>
  <c r="J37" i="31"/>
  <c r="I14" i="31"/>
  <c r="G25" i="34"/>
  <c r="E3" i="30"/>
  <c r="J26" i="34" l="1"/>
  <c r="J35" i="38"/>
  <c r="I11" i="31"/>
  <c r="H21" i="38"/>
  <c r="J16" i="33"/>
  <c r="I11" i="38" s="1"/>
  <c r="I9" i="38"/>
  <c r="U76" i="36"/>
  <c r="H18" i="36"/>
  <c r="K37" i="31"/>
  <c r="J19" i="38"/>
  <c r="J20" i="38" s="1"/>
  <c r="J19" i="33"/>
  <c r="J21" i="33" s="1"/>
  <c r="H26" i="36"/>
  <c r="U52" i="36" s="1"/>
  <c r="I16" i="33"/>
  <c r="H11" i="38" s="1"/>
  <c r="J17" i="33"/>
  <c r="G28" i="34"/>
  <c r="G30" i="34" s="1"/>
  <c r="I7" i="32"/>
  <c r="H28" i="34"/>
  <c r="K9" i="32"/>
  <c r="J33" i="38" s="1"/>
  <c r="J27" i="34"/>
  <c r="J14" i="31"/>
  <c r="K12" i="31"/>
  <c r="J46" i="31"/>
  <c r="J40" i="31"/>
  <c r="J36" i="31" s="1"/>
  <c r="K47" i="31"/>
  <c r="K13" i="31"/>
  <c r="N6" i="30"/>
  <c r="N4" i="33" s="1"/>
  <c r="M5" i="38" s="1"/>
  <c r="M4" i="33"/>
  <c r="L5" i="38" s="1"/>
  <c r="L6" i="38" s="1"/>
  <c r="J45" i="31"/>
  <c r="K39" i="31"/>
  <c r="K44" i="31"/>
  <c r="K41" i="31"/>
  <c r="K48" i="31"/>
  <c r="L8" i="33"/>
  <c r="L8" i="31"/>
  <c r="L7" i="33"/>
  <c r="L10" i="32"/>
  <c r="K36" i="38" s="1"/>
  <c r="L10" i="33"/>
  <c r="K10" i="38" s="1"/>
  <c r="L5" i="33"/>
  <c r="L10" i="31"/>
  <c r="L39" i="31" s="1"/>
  <c r="L22" i="31"/>
  <c r="K6" i="33"/>
  <c r="K20" i="31"/>
  <c r="K9" i="31"/>
  <c r="K38" i="31" s="1"/>
  <c r="C5" i="34"/>
  <c r="F3" i="30"/>
  <c r="M6" i="38" l="1"/>
  <c r="K9" i="33"/>
  <c r="J7" i="38"/>
  <c r="J8" i="38" s="1"/>
  <c r="K26" i="34"/>
  <c r="K35" i="38"/>
  <c r="J11" i="31"/>
  <c r="I21" i="38"/>
  <c r="L37" i="31"/>
  <c r="K19" i="38"/>
  <c r="K20" i="38" s="1"/>
  <c r="I12" i="38"/>
  <c r="I13" i="38" s="1"/>
  <c r="I25" i="34"/>
  <c r="J15" i="32"/>
  <c r="J5" i="32"/>
  <c r="H27" i="36"/>
  <c r="I17" i="33"/>
  <c r="I19" i="33"/>
  <c r="I21" i="33" s="1"/>
  <c r="H25" i="34" s="1"/>
  <c r="H30" i="34" s="1"/>
  <c r="L13" i="31"/>
  <c r="N7" i="33"/>
  <c r="N10" i="31"/>
  <c r="N47" i="31" s="1"/>
  <c r="N10" i="32"/>
  <c r="N5" i="33"/>
  <c r="N10" i="33"/>
  <c r="M10" i="38" s="1"/>
  <c r="N22" i="31"/>
  <c r="N8" i="33"/>
  <c r="N8" i="31"/>
  <c r="M19" i="38" s="1"/>
  <c r="M20" i="38" s="1"/>
  <c r="L20" i="31"/>
  <c r="L9" i="31"/>
  <c r="L12" i="31"/>
  <c r="K14" i="31"/>
  <c r="K46" i="31"/>
  <c r="K40" i="31"/>
  <c r="K36" i="31" s="1"/>
  <c r="I22" i="32"/>
  <c r="J7" i="32"/>
  <c r="I28" i="34"/>
  <c r="L48" i="31"/>
  <c r="L41" i="31"/>
  <c r="L47" i="31"/>
  <c r="L9" i="32"/>
  <c r="K33" i="38" s="1"/>
  <c r="K27" i="34"/>
  <c r="L6" i="33"/>
  <c r="K45" i="31"/>
  <c r="M10" i="31"/>
  <c r="M22" i="31"/>
  <c r="M5" i="33"/>
  <c r="M7" i="33"/>
  <c r="M10" i="33"/>
  <c r="L10" i="38" s="1"/>
  <c r="M8" i="33"/>
  <c r="M10" i="32"/>
  <c r="L36" i="38" s="1"/>
  <c r="M8" i="31"/>
  <c r="L44" i="31"/>
  <c r="G24" i="34"/>
  <c r="G3" i="30"/>
  <c r="I30" i="34" l="1"/>
  <c r="M37" i="31"/>
  <c r="L19" i="38"/>
  <c r="L20" i="38" s="1"/>
  <c r="M36" i="38"/>
  <c r="M27" i="34"/>
  <c r="L9" i="33"/>
  <c r="K7" i="38"/>
  <c r="K8" i="38" s="1"/>
  <c r="M35" i="38"/>
  <c r="L26" i="34"/>
  <c r="L35" i="38"/>
  <c r="K11" i="31"/>
  <c r="J21" i="38"/>
  <c r="K16" i="33"/>
  <c r="J9" i="38"/>
  <c r="H12" i="38"/>
  <c r="H13" i="38" s="1"/>
  <c r="J4" i="32"/>
  <c r="I31" i="38" s="1"/>
  <c r="I32" i="38" s="1"/>
  <c r="H28" i="36"/>
  <c r="U53" i="36" s="1"/>
  <c r="I15" i="32"/>
  <c r="I5" i="32"/>
  <c r="I4" i="32" s="1"/>
  <c r="H31" i="38" s="1"/>
  <c r="I30" i="31"/>
  <c r="M13" i="31"/>
  <c r="N13" i="31" s="1"/>
  <c r="K7" i="32"/>
  <c r="J28" i="34"/>
  <c r="N44" i="31"/>
  <c r="M47" i="31"/>
  <c r="N39" i="31"/>
  <c r="N37" i="31"/>
  <c r="M44" i="31"/>
  <c r="L27" i="34"/>
  <c r="M9" i="32"/>
  <c r="L33" i="38" s="1"/>
  <c r="N6" i="33"/>
  <c r="N20" i="31"/>
  <c r="N9" i="31"/>
  <c r="M39" i="31"/>
  <c r="M6" i="33"/>
  <c r="M20" i="31"/>
  <c r="M9" i="31"/>
  <c r="M38" i="31" s="1"/>
  <c r="L14" i="31"/>
  <c r="M12" i="31"/>
  <c r="M48" i="31"/>
  <c r="M41" i="31"/>
  <c r="L45" i="31"/>
  <c r="L46" i="31"/>
  <c r="L40" i="31"/>
  <c r="L38" i="31"/>
  <c r="N48" i="31"/>
  <c r="N41" i="31"/>
  <c r="N9" i="32"/>
  <c r="M33" i="38" s="1"/>
  <c r="H24" i="34"/>
  <c r="L11" i="31" l="1"/>
  <c r="K21" i="38"/>
  <c r="M9" i="33"/>
  <c r="L7" i="38"/>
  <c r="L8" i="38" s="1"/>
  <c r="J11" i="38"/>
  <c r="K19" i="33"/>
  <c r="K21" i="33" s="1"/>
  <c r="K17" i="33"/>
  <c r="L16" i="33"/>
  <c r="K9" i="38"/>
  <c r="N9" i="33"/>
  <c r="M7" i="38"/>
  <c r="M8" i="38" s="1"/>
  <c r="I37" i="38"/>
  <c r="H37" i="38"/>
  <c r="H32" i="38"/>
  <c r="J30" i="31"/>
  <c r="I26" i="31"/>
  <c r="H24" i="38" s="1"/>
  <c r="H26" i="38" s="1"/>
  <c r="L36" i="31"/>
  <c r="L7" i="32" s="1"/>
  <c r="N12" i="31"/>
  <c r="N14" i="31" s="1"/>
  <c r="M14" i="31"/>
  <c r="N46" i="31"/>
  <c r="N40" i="31"/>
  <c r="M46" i="31"/>
  <c r="M40" i="31"/>
  <c r="M36" i="31" s="1"/>
  <c r="N38" i="31"/>
  <c r="M45" i="31"/>
  <c r="N45" i="31"/>
  <c r="I24" i="34"/>
  <c r="I3" i="30"/>
  <c r="M11" i="31" l="1"/>
  <c r="L21" i="38"/>
  <c r="N11" i="31"/>
  <c r="M21" i="38"/>
  <c r="K5" i="32"/>
  <c r="K4" i="32" s="1"/>
  <c r="J31" i="38" s="1"/>
  <c r="J25" i="34"/>
  <c r="J30" i="34" s="1"/>
  <c r="K15" i="32"/>
  <c r="J12" i="38"/>
  <c r="J32" i="38" s="1"/>
  <c r="M16" i="33"/>
  <c r="L9" i="38"/>
  <c r="N16" i="33"/>
  <c r="M9" i="38"/>
  <c r="K11" i="38"/>
  <c r="L17" i="33"/>
  <c r="L19" i="33"/>
  <c r="L21" i="33" s="1"/>
  <c r="J37" i="38"/>
  <c r="K28" i="34"/>
  <c r="H32" i="36"/>
  <c r="U58" i="36" s="1"/>
  <c r="K30" i="31"/>
  <c r="J26" i="31"/>
  <c r="I24" i="38" s="1"/>
  <c r="I26" i="38" s="1"/>
  <c r="N36" i="31"/>
  <c r="M7" i="32"/>
  <c r="L28" i="34"/>
  <c r="J24" i="34"/>
  <c r="J3" i="30"/>
  <c r="L11" i="38" l="1"/>
  <c r="M19" i="33"/>
  <c r="M21" i="33" s="1"/>
  <c r="M17" i="33"/>
  <c r="N7" i="32"/>
  <c r="M28" i="34"/>
  <c r="K12" i="38"/>
  <c r="L5" i="32"/>
  <c r="L4" i="32" s="1"/>
  <c r="K31" i="38" s="1"/>
  <c r="K37" i="38" s="1"/>
  <c r="K25" i="34"/>
  <c r="K30" i="34" s="1"/>
  <c r="L15" i="32"/>
  <c r="M11" i="38"/>
  <c r="N19" i="33"/>
  <c r="N21" i="33" s="1"/>
  <c r="N17" i="33"/>
  <c r="J13" i="38"/>
  <c r="L30" i="31"/>
  <c r="K26" i="31"/>
  <c r="J24" i="38" s="1"/>
  <c r="J26" i="38" s="1"/>
  <c r="J5" i="31"/>
  <c r="J4" i="31" s="1"/>
  <c r="I17" i="38" s="1"/>
  <c r="I27" i="38" s="1"/>
  <c r="J24" i="32"/>
  <c r="K22" i="32" s="1"/>
  <c r="I24" i="32"/>
  <c r="J22" i="32" s="1"/>
  <c r="I5" i="31"/>
  <c r="K24" i="34"/>
  <c r="K3" i="30"/>
  <c r="K32" i="38" l="1"/>
  <c r="N5" i="32"/>
  <c r="N4" i="32" s="1"/>
  <c r="M31" i="38" s="1"/>
  <c r="N15" i="32"/>
  <c r="M25" i="34"/>
  <c r="M30" i="34" s="1"/>
  <c r="E90" i="34" s="1"/>
  <c r="M12" i="38"/>
  <c r="L12" i="38"/>
  <c r="M5" i="32"/>
  <c r="M4" i="32" s="1"/>
  <c r="L31" i="38" s="1"/>
  <c r="L32" i="38" s="1"/>
  <c r="L25" i="34"/>
  <c r="L30" i="34" s="1"/>
  <c r="M15" i="32"/>
  <c r="K13" i="38"/>
  <c r="M37" i="38"/>
  <c r="C89" i="34" a="1"/>
  <c r="C89" i="34" s="1"/>
  <c r="J21" i="31"/>
  <c r="I4" i="31"/>
  <c r="K5" i="31"/>
  <c r="K4" i="31" s="1"/>
  <c r="J17" i="38" s="1"/>
  <c r="J27" i="38" s="1"/>
  <c r="K24" i="32"/>
  <c r="L22" i="32" s="1"/>
  <c r="M30" i="31"/>
  <c r="L26" i="31"/>
  <c r="K24" i="38" s="1"/>
  <c r="K26" i="38" s="1"/>
  <c r="L24" i="34"/>
  <c r="L3" i="30"/>
  <c r="M32" i="38" l="1"/>
  <c r="E89" i="34" a="1"/>
  <c r="E89" i="34" s="1"/>
  <c r="E91" i="34" s="1"/>
  <c r="D89" i="34" a="1"/>
  <c r="D89" i="34" s="1"/>
  <c r="C90" i="34"/>
  <c r="C91" i="34" s="1"/>
  <c r="D90" i="34"/>
  <c r="L37" i="38"/>
  <c r="I21" i="31"/>
  <c r="H22" i="38" s="1"/>
  <c r="H25" i="38" s="1"/>
  <c r="H17" i="38"/>
  <c r="H27" i="38" s="1"/>
  <c r="L13" i="38"/>
  <c r="M13" i="38"/>
  <c r="J19" i="31"/>
  <c r="J18" i="31" s="1"/>
  <c r="J34" i="31" s="1"/>
  <c r="I22" i="38"/>
  <c r="I25" i="38" s="1"/>
  <c r="K21" i="31"/>
  <c r="J22" i="38" s="1"/>
  <c r="J25" i="38" s="1"/>
  <c r="H23" i="36"/>
  <c r="H13" i="36"/>
  <c r="U82" i="36" s="1"/>
  <c r="H29" i="36"/>
  <c r="H30" i="36"/>
  <c r="U57" i="36" s="1"/>
  <c r="N30" i="31"/>
  <c r="N26" i="31" s="1"/>
  <c r="M24" i="38" s="1"/>
  <c r="M26" i="38" s="1"/>
  <c r="M26" i="31"/>
  <c r="L24" i="38" s="1"/>
  <c r="L26" i="38" s="1"/>
  <c r="L24" i="32"/>
  <c r="M22" i="32" s="1"/>
  <c r="L5" i="31"/>
  <c r="L4" i="31" s="1"/>
  <c r="K17" i="38" s="1"/>
  <c r="K27" i="38" s="1"/>
  <c r="M3" i="30"/>
  <c r="D91" i="34" l="1"/>
  <c r="L21" i="31"/>
  <c r="K22" i="38" s="1"/>
  <c r="K25" i="38" s="1"/>
  <c r="K18" i="32"/>
  <c r="K14" i="32" s="1"/>
  <c r="K19" i="31"/>
  <c r="K18" i="31" s="1"/>
  <c r="K34" i="31" s="1"/>
  <c r="M5" i="31"/>
  <c r="M4" i="31" s="1"/>
  <c r="L17" i="38" s="1"/>
  <c r="L27" i="38" s="1"/>
  <c r="M24" i="32"/>
  <c r="N22" i="32" s="1"/>
  <c r="N24" i="32"/>
  <c r="N5" i="31"/>
  <c r="N4" i="31" s="1"/>
  <c r="M17" i="38" s="1"/>
  <c r="M27" i="38" s="1"/>
  <c r="N3" i="30"/>
  <c r="M24" i="34"/>
  <c r="K23" i="32" l="1"/>
  <c r="J34" i="38"/>
  <c r="M21" i="31"/>
  <c r="L22" i="38" s="1"/>
  <c r="L25" i="38" s="1"/>
  <c r="N21" i="31"/>
  <c r="M22" i="38" s="1"/>
  <c r="M25" i="38" s="1"/>
  <c r="L18" i="32"/>
  <c r="L14" i="32" s="1"/>
  <c r="L19" i="31"/>
  <c r="L18" i="31" s="1"/>
  <c r="L34" i="31" s="1"/>
  <c r="I2" i="30"/>
  <c r="D67" i="25"/>
  <c r="E67" i="25"/>
  <c r="F67" i="25"/>
  <c r="G67" i="25"/>
  <c r="G61" i="25"/>
  <c r="F61" i="25"/>
  <c r="E61" i="25"/>
  <c r="D61" i="25"/>
  <c r="G59" i="25"/>
  <c r="F59" i="25"/>
  <c r="E59" i="25"/>
  <c r="D59" i="25"/>
  <c r="G57" i="25"/>
  <c r="F57" i="25"/>
  <c r="E57" i="25"/>
  <c r="D57" i="25"/>
  <c r="G56" i="25"/>
  <c r="F56" i="25"/>
  <c r="E56" i="25"/>
  <c r="D56" i="25"/>
  <c r="G54" i="25"/>
  <c r="F54" i="25"/>
  <c r="E54" i="25"/>
  <c r="D54" i="25"/>
  <c r="F38" i="25"/>
  <c r="E38" i="25"/>
  <c r="D38" i="25"/>
  <c r="F41" i="25"/>
  <c r="E41" i="25"/>
  <c r="D41" i="25"/>
  <c r="G41" i="25"/>
  <c r="F92" i="25"/>
  <c r="E92" i="25"/>
  <c r="D92" i="25"/>
  <c r="G92" i="25"/>
  <c r="G38" i="25"/>
  <c r="G9" i="25"/>
  <c r="G10" i="25" s="1"/>
  <c r="F9" i="25"/>
  <c r="E9" i="25"/>
  <c r="D9" i="25"/>
  <c r="F100" i="25"/>
  <c r="F23" i="25" s="1"/>
  <c r="E100" i="25"/>
  <c r="E23" i="25" s="1"/>
  <c r="D100" i="25"/>
  <c r="D23" i="25" s="1"/>
  <c r="F99" i="25"/>
  <c r="F22" i="25" s="1"/>
  <c r="E99" i="25"/>
  <c r="E22" i="25" s="1"/>
  <c r="D99" i="25"/>
  <c r="D22" i="25" s="1"/>
  <c r="F98" i="25"/>
  <c r="F21" i="25" s="1"/>
  <c r="E98" i="25"/>
  <c r="E21" i="25" s="1"/>
  <c r="D98" i="25"/>
  <c r="D21" i="25" s="1"/>
  <c r="F97" i="25"/>
  <c r="F20" i="25" s="1"/>
  <c r="E97" i="25"/>
  <c r="E20" i="25" s="1"/>
  <c r="D97" i="25"/>
  <c r="D20" i="25" s="1"/>
  <c r="G100" i="25"/>
  <c r="G23" i="25" s="1"/>
  <c r="G99" i="25"/>
  <c r="G22" i="25" s="1"/>
  <c r="G98" i="25"/>
  <c r="G21" i="25" s="1"/>
  <c r="G97" i="25"/>
  <c r="F96" i="25"/>
  <c r="E96" i="25"/>
  <c r="D96" i="25"/>
  <c r="G75" i="25"/>
  <c r="E81" i="25"/>
  <c r="E87" i="25"/>
  <c r="F87" i="25"/>
  <c r="G81" i="25"/>
  <c r="G87" i="25"/>
  <c r="F81" i="25"/>
  <c r="L23" i="32" l="1"/>
  <c r="K34" i="38"/>
  <c r="M18" i="32"/>
  <c r="M14" i="32" s="1"/>
  <c r="M19" i="31"/>
  <c r="M18" i="31" s="1"/>
  <c r="M34" i="31" s="1"/>
  <c r="N18" i="32"/>
  <c r="N14" i="32" s="1"/>
  <c r="N19" i="31"/>
  <c r="N18" i="31" s="1"/>
  <c r="N34" i="31" s="1"/>
  <c r="E94" i="25"/>
  <c r="E93" i="25" s="1"/>
  <c r="E95" i="25" s="1"/>
  <c r="E19" i="25" s="1"/>
  <c r="F94" i="25"/>
  <c r="F93" i="25" s="1"/>
  <c r="F95" i="25" s="1"/>
  <c r="F19" i="25" s="1"/>
  <c r="G20" i="25"/>
  <c r="G94" i="25"/>
  <c r="G93" i="25" s="1"/>
  <c r="G95" i="25" s="1"/>
  <c r="D94" i="25"/>
  <c r="D93" i="25" s="1"/>
  <c r="D95" i="25" s="1"/>
  <c r="D19" i="25" s="1"/>
  <c r="J2" i="30"/>
  <c r="N23" i="32" l="1"/>
  <c r="M34" i="38"/>
  <c r="M23" i="32"/>
  <c r="L34" i="38"/>
  <c r="K2" i="30"/>
  <c r="G19" i="25"/>
  <c r="E18" i="25"/>
  <c r="D18" i="25"/>
  <c r="F18" i="25"/>
  <c r="G85" i="25"/>
  <c r="F85" i="25"/>
  <c r="E85" i="25"/>
  <c r="G79" i="25"/>
  <c r="F79" i="25"/>
  <c r="E79" i="25"/>
  <c r="F75" i="25"/>
  <c r="E75" i="25"/>
  <c r="D75" i="25"/>
  <c r="G18" i="25" l="1"/>
  <c r="G29" i="25" s="1"/>
  <c r="F49" i="25"/>
  <c r="F51" i="25"/>
  <c r="F48" i="25"/>
  <c r="F52" i="25"/>
  <c r="F50" i="25"/>
  <c r="D50" i="25"/>
  <c r="D49" i="25"/>
  <c r="D51" i="25"/>
  <c r="D48" i="25"/>
  <c r="D52" i="25"/>
  <c r="E50" i="25"/>
  <c r="E49" i="25"/>
  <c r="E51" i="25"/>
  <c r="E52" i="25"/>
  <c r="E48" i="25"/>
  <c r="L2" i="30"/>
  <c r="D44" i="25"/>
  <c r="D45" i="25"/>
  <c r="D46" i="25"/>
  <c r="D47" i="25"/>
  <c r="E44" i="25"/>
  <c r="E47" i="25"/>
  <c r="E45" i="25"/>
  <c r="E46" i="25"/>
  <c r="F47" i="25"/>
  <c r="F44" i="25"/>
  <c r="F45" i="25"/>
  <c r="F46" i="25"/>
  <c r="D26" i="25"/>
  <c r="F26" i="25"/>
  <c r="E26" i="25"/>
  <c r="D89" i="25"/>
  <c r="D5" i="25" s="1"/>
  <c r="D39" i="25" s="1"/>
  <c r="D30" i="25"/>
  <c r="D28" i="25"/>
  <c r="D29" i="25"/>
  <c r="D27" i="25"/>
  <c r="D25" i="25"/>
  <c r="F30" i="25"/>
  <c r="F28" i="25"/>
  <c r="F29" i="25"/>
  <c r="F27" i="25"/>
  <c r="F25" i="25"/>
  <c r="E30" i="25"/>
  <c r="E28" i="25"/>
  <c r="E29" i="25"/>
  <c r="E27" i="25"/>
  <c r="E25" i="25"/>
  <c r="G89" i="25"/>
  <c r="H90" i="25" s="1"/>
  <c r="E89" i="25"/>
  <c r="F89" i="25"/>
  <c r="G30" i="25" l="1"/>
  <c r="G25" i="25"/>
  <c r="G27" i="25"/>
  <c r="G45" i="25"/>
  <c r="G46" i="25"/>
  <c r="G49" i="25"/>
  <c r="G51" i="25"/>
  <c r="G52" i="25"/>
  <c r="G50" i="25"/>
  <c r="G48" i="25"/>
  <c r="G26" i="25"/>
  <c r="M2" i="30"/>
  <c r="G44" i="25"/>
  <c r="G47" i="25"/>
  <c r="G28" i="25"/>
  <c r="D32" i="25"/>
  <c r="D42" i="25"/>
  <c r="G5" i="25"/>
  <c r="G16" i="25" s="1"/>
  <c r="E90" i="25"/>
  <c r="D14" i="25"/>
  <c r="D15" i="25"/>
  <c r="D13" i="25"/>
  <c r="D10" i="25"/>
  <c r="F5" i="25"/>
  <c r="F39" i="25" s="1"/>
  <c r="D16" i="25"/>
  <c r="F90" i="25"/>
  <c r="G90" i="25"/>
  <c r="N2" i="30" l="1"/>
  <c r="D33" i="25"/>
  <c r="D63" i="25"/>
  <c r="G13" i="25"/>
  <c r="D36" i="25"/>
  <c r="G14" i="25"/>
  <c r="G32" i="25"/>
  <c r="G42" i="25"/>
  <c r="G39" i="25"/>
  <c r="F16" i="25"/>
  <c r="F32" i="25"/>
  <c r="F63" i="25" s="1"/>
  <c r="F42" i="25"/>
  <c r="G15" i="25"/>
  <c r="E5" i="25"/>
  <c r="E39" i="25" s="1"/>
  <c r="G11" i="25"/>
  <c r="F10" i="25"/>
  <c r="F13" i="25"/>
  <c r="F15" i="25"/>
  <c r="F14" i="25"/>
  <c r="G63" i="25" l="1"/>
  <c r="H65" i="25" s="1"/>
  <c r="H34" i="25"/>
  <c r="G70" i="25"/>
  <c r="H72" i="25" s="1"/>
  <c r="G65" i="25"/>
  <c r="G68" i="25"/>
  <c r="D64" i="25"/>
  <c r="D70" i="25"/>
  <c r="D68" i="25"/>
  <c r="F64" i="25"/>
  <c r="F70" i="25"/>
  <c r="F71" i="25" s="1"/>
  <c r="F68" i="25"/>
  <c r="E32" i="25"/>
  <c r="E63" i="25" s="1"/>
  <c r="F65" i="25" s="1"/>
  <c r="E42" i="25"/>
  <c r="F11" i="25"/>
  <c r="G33" i="25"/>
  <c r="G36" i="25"/>
  <c r="G34" i="25"/>
  <c r="F33" i="25"/>
  <c r="F36" i="25"/>
  <c r="E10" i="25"/>
  <c r="E14" i="25"/>
  <c r="E11" i="25"/>
  <c r="E13" i="25"/>
  <c r="E15" i="25"/>
  <c r="E16" i="25"/>
  <c r="G64" i="25" l="1"/>
  <c r="F34" i="25"/>
  <c r="D71" i="25"/>
  <c r="E64" i="25"/>
  <c r="E70" i="25"/>
  <c r="E65" i="25"/>
  <c r="E68" i="25"/>
  <c r="G72" i="25"/>
  <c r="G71" i="25"/>
  <c r="E36" i="25"/>
  <c r="E33" i="25"/>
  <c r="E34" i="25"/>
  <c r="F72" i="25" l="1"/>
  <c r="E72" i="25"/>
  <c r="E71" i="25"/>
  <c r="D17" i="7" l="1"/>
  <c r="E17" i="7"/>
  <c r="F17" i="7"/>
  <c r="D20" i="7"/>
  <c r="D21" i="7"/>
  <c r="D22" i="7"/>
  <c r="D24" i="7"/>
  <c r="D25" i="7"/>
  <c r="E20" i="7"/>
  <c r="E21" i="7"/>
  <c r="E22" i="7"/>
  <c r="E24" i="7"/>
  <c r="E25" i="7"/>
  <c r="F20" i="7"/>
  <c r="F21" i="7"/>
  <c r="F22" i="7"/>
  <c r="F24" i="7"/>
  <c r="F25" i="7"/>
  <c r="G20" i="7"/>
  <c r="G21" i="7"/>
  <c r="G22" i="7"/>
  <c r="G24" i="7"/>
  <c r="G25" i="7"/>
  <c r="D16" i="7"/>
  <c r="E16" i="7"/>
  <c r="F16" i="7"/>
  <c r="G16" i="7"/>
  <c r="I2" i="7"/>
  <c r="J2" i="7" s="1"/>
  <c r="K2" i="7" s="1"/>
  <c r="L2" i="7" s="1"/>
  <c r="M2" i="7" s="1"/>
  <c r="N2" i="7" s="1"/>
  <c r="D2" i="7"/>
  <c r="D1" i="7" s="1"/>
  <c r="E2" i="7"/>
  <c r="E1" i="7" s="1"/>
  <c r="F2" i="7"/>
  <c r="F1" i="7" s="1"/>
  <c r="G2" i="7"/>
  <c r="G1" i="7" s="1"/>
  <c r="F177" i="5"/>
  <c r="F174" i="5"/>
  <c r="E173" i="5"/>
  <c r="F173" i="5"/>
  <c r="G173" i="5"/>
  <c r="H173" i="5"/>
  <c r="G174" i="5"/>
  <c r="H174" i="5"/>
  <c r="E175" i="5"/>
  <c r="F175" i="5"/>
  <c r="G175" i="5"/>
  <c r="H175" i="5"/>
  <c r="E176" i="5"/>
  <c r="F176" i="5"/>
  <c r="G176" i="5"/>
  <c r="H176" i="5"/>
  <c r="E177" i="5"/>
  <c r="G177" i="5"/>
  <c r="H177" i="5"/>
  <c r="E172" i="5"/>
  <c r="F172" i="5"/>
  <c r="G172" i="5"/>
  <c r="H172" i="5"/>
  <c r="E171" i="5"/>
  <c r="F171" i="5"/>
  <c r="G171" i="5"/>
  <c r="H171" i="5"/>
  <c r="E170" i="5"/>
  <c r="F170" i="5"/>
  <c r="G170" i="5"/>
  <c r="H170" i="5"/>
  <c r="E169" i="5"/>
  <c r="F169" i="5"/>
  <c r="G169" i="5"/>
  <c r="H169" i="5"/>
  <c r="E168" i="5"/>
  <c r="F168" i="5"/>
  <c r="G168" i="5"/>
  <c r="H168" i="5"/>
  <c r="E167" i="5"/>
  <c r="F167" i="5"/>
  <c r="G167" i="5"/>
  <c r="H167" i="5"/>
  <c r="E165" i="5"/>
  <c r="F165" i="5"/>
  <c r="G165" i="5"/>
  <c r="H165" i="5"/>
  <c r="E53" i="4"/>
  <c r="F53" i="4"/>
  <c r="G53" i="4"/>
  <c r="H53" i="4"/>
  <c r="E52" i="4"/>
  <c r="F52" i="4"/>
  <c r="G52" i="4"/>
  <c r="H52" i="4"/>
  <c r="E51" i="4"/>
  <c r="F51" i="4"/>
  <c r="F50" i="4"/>
  <c r="G50" i="4"/>
  <c r="H50" i="4"/>
  <c r="G49" i="4"/>
  <c r="H49" i="4"/>
  <c r="F48" i="4"/>
  <c r="H48" i="4"/>
  <c r="E37" i="3"/>
  <c r="F37" i="3"/>
  <c r="G37" i="3"/>
  <c r="H37" i="3"/>
  <c r="E36" i="3"/>
  <c r="F36" i="3"/>
  <c r="G36" i="3"/>
  <c r="H36" i="3"/>
  <c r="F35" i="3"/>
  <c r="G35" i="3"/>
  <c r="H35" i="3"/>
  <c r="H34" i="3"/>
  <c r="E34" i="3"/>
  <c r="F34" i="3"/>
  <c r="G34" i="3"/>
  <c r="F33" i="3"/>
  <c r="G33" i="3"/>
  <c r="H33" i="3"/>
  <c r="E135" i="2"/>
  <c r="F135" i="2"/>
  <c r="G135" i="2"/>
  <c r="E134" i="2"/>
  <c r="F134" i="2"/>
  <c r="G134" i="2"/>
  <c r="E136" i="2"/>
  <c r="F136" i="2"/>
  <c r="G136" i="2"/>
  <c r="E132" i="2"/>
  <c r="F132" i="2"/>
  <c r="G132" i="2"/>
  <c r="E131" i="2"/>
  <c r="F131" i="2"/>
  <c r="G131" i="2"/>
  <c r="E133" i="2"/>
  <c r="F133" i="2"/>
  <c r="G133" i="2"/>
  <c r="E130" i="2"/>
  <c r="F130" i="2"/>
  <c r="G130" i="2"/>
  <c r="D23" i="7" l="1"/>
  <c r="E23" i="7"/>
  <c r="F23" i="7"/>
  <c r="D19" i="7"/>
  <c r="F19" i="7"/>
  <c r="G23" i="7"/>
  <c r="G19" i="7"/>
  <c r="G31" i="7"/>
  <c r="G29" i="7"/>
  <c r="E19" i="7"/>
  <c r="F31" i="7"/>
  <c r="F29" i="7"/>
  <c r="E29" i="7"/>
  <c r="E31" i="7"/>
  <c r="F27" i="7" l="1"/>
  <c r="F28" i="7" s="1"/>
  <c r="D18" i="7"/>
  <c r="E18" i="7"/>
  <c r="F18" i="7"/>
  <c r="G27" i="7"/>
  <c r="G28" i="7" s="1"/>
  <c r="G18" i="7"/>
  <c r="E27" i="7"/>
  <c r="E28" i="7" s="1"/>
  <c r="I31" i="7" l="1"/>
  <c r="I29" i="7"/>
  <c r="J31" i="7" l="1"/>
  <c r="J29" i="7"/>
  <c r="I27" i="7"/>
  <c r="C20" i="34" l="1"/>
  <c r="L33" i="34" s="1"/>
  <c r="L34" i="34" s="1"/>
  <c r="C44" i="38"/>
  <c r="J27" i="7"/>
  <c r="P7" i="8"/>
  <c r="P13" i="8" s="1"/>
  <c r="K29" i="7"/>
  <c r="K31" i="7"/>
  <c r="Z33" i="34" l="1"/>
  <c r="Z34" i="34" s="1"/>
  <c r="M33" i="34"/>
  <c r="M34" i="34" s="1"/>
  <c r="J33" i="34"/>
  <c r="J34" i="34" s="1"/>
  <c r="K33" i="34"/>
  <c r="K34" i="34" s="1"/>
  <c r="I33" i="34"/>
  <c r="I34" i="34" s="1"/>
  <c r="G33" i="34"/>
  <c r="G34" i="34" s="1"/>
  <c r="C38" i="34"/>
  <c r="C39" i="34" s="1"/>
  <c r="H33" i="34"/>
  <c r="H34" i="34" s="1"/>
  <c r="C46" i="38"/>
  <c r="B62" i="34"/>
  <c r="B56" i="34"/>
  <c r="B61" i="34"/>
  <c r="B60" i="34"/>
  <c r="B59" i="34"/>
  <c r="B58" i="34"/>
  <c r="B57" i="34"/>
  <c r="K27" i="7"/>
  <c r="L29" i="7"/>
  <c r="L31" i="7"/>
  <c r="C37" i="34" l="1"/>
  <c r="C40" i="34" s="1"/>
  <c r="L27" i="7"/>
  <c r="M29" i="7"/>
  <c r="M31" i="7"/>
  <c r="C46" i="34" l="1"/>
  <c r="G107" i="34" s="1" a="1"/>
  <c r="G107" i="34" s="1"/>
  <c r="C48" i="38"/>
  <c r="M27" i="7"/>
  <c r="N29" i="7"/>
  <c r="N31" i="7"/>
  <c r="G106" i="34" l="1" a="1"/>
  <c r="G106" i="34" s="1"/>
  <c r="F107" i="34" a="1"/>
  <c r="F107" i="34" s="1"/>
  <c r="G105" i="34" a="1"/>
  <c r="G105" i="34" s="1"/>
  <c r="F106" i="34" a="1"/>
  <c r="F106" i="34" s="1"/>
  <c r="G104" i="34" a="1"/>
  <c r="G104" i="34" s="1"/>
  <c r="F105" i="34" a="1"/>
  <c r="F105" i="34" s="1"/>
  <c r="G103" i="34" a="1"/>
  <c r="G103" i="34" s="1"/>
  <c r="F104" i="34" a="1"/>
  <c r="F104" i="34" s="1"/>
  <c r="G102" i="34" a="1"/>
  <c r="G102" i="34" s="1"/>
  <c r="F103" i="34" a="1"/>
  <c r="F103" i="34" s="1"/>
  <c r="G101" i="34" a="1"/>
  <c r="G101" i="34" s="1"/>
  <c r="F102" i="34" a="1"/>
  <c r="F102" i="34" s="1"/>
  <c r="G100" i="34" a="1"/>
  <c r="G100" i="34" s="1"/>
  <c r="I100" i="34" s="1"/>
  <c r="F101" i="34" a="1"/>
  <c r="F101" i="34" s="1"/>
  <c r="E92" i="34"/>
  <c r="E93" i="34" s="1"/>
  <c r="E94" i="34" s="1"/>
  <c r="F100" i="34" a="1"/>
  <c r="F100" i="34" s="1"/>
  <c r="C92" i="34"/>
  <c r="C93" i="34" s="1"/>
  <c r="C94" i="34" s="1"/>
  <c r="D92" i="34"/>
  <c r="D93" i="34" s="1"/>
  <c r="D94" i="34" s="1"/>
  <c r="F68" i="34" a="1"/>
  <c r="F68" i="34" s="1"/>
  <c r="C66" i="34" a="1"/>
  <c r="C66" i="34" s="1"/>
  <c r="H72" i="34" a="1"/>
  <c r="H72" i="34" s="1"/>
  <c r="C68" i="34" a="1"/>
  <c r="C68" i="34" s="1"/>
  <c r="E70" i="34" a="1"/>
  <c r="E70" i="34" s="1"/>
  <c r="E66" i="34" a="1"/>
  <c r="E66" i="34" s="1"/>
  <c r="G71" i="34" a="1"/>
  <c r="G71" i="34" s="1"/>
  <c r="G67" i="34" a="1"/>
  <c r="G67" i="34" s="1"/>
  <c r="I72" i="34" a="1"/>
  <c r="I72" i="34" s="1"/>
  <c r="F67" i="34" a="1"/>
  <c r="F67" i="34" s="1"/>
  <c r="I66" i="34" a="1"/>
  <c r="I66" i="34" s="1"/>
  <c r="E67" i="34" a="1"/>
  <c r="E67" i="34" s="1"/>
  <c r="G72" i="34" a="1"/>
  <c r="G72" i="34" s="1"/>
  <c r="D67" i="34" a="1"/>
  <c r="D67" i="34" s="1"/>
  <c r="C69" i="34" a="1"/>
  <c r="C69" i="34" s="1"/>
  <c r="E68" i="34" a="1"/>
  <c r="E68" i="34" s="1"/>
  <c r="I69" i="34" a="1"/>
  <c r="I69" i="34" s="1"/>
  <c r="D72" i="34" a="1"/>
  <c r="D72" i="34" s="1"/>
  <c r="G70" i="34" a="1"/>
  <c r="G70" i="34" s="1"/>
  <c r="I71" i="34" a="1"/>
  <c r="I71" i="34" s="1"/>
  <c r="H69" i="34" a="1"/>
  <c r="H69" i="34" s="1"/>
  <c r="H67" i="34" a="1"/>
  <c r="H67" i="34" s="1"/>
  <c r="D66" i="34" a="1"/>
  <c r="D66" i="34" s="1"/>
  <c r="I67" i="34" a="1"/>
  <c r="I67" i="34" s="1"/>
  <c r="F69" i="34" a="1"/>
  <c r="F69" i="34" s="1"/>
  <c r="I68" i="34" a="1"/>
  <c r="I68" i="34" s="1"/>
  <c r="E69" i="34" a="1"/>
  <c r="E69" i="34" s="1"/>
  <c r="H66" i="34" a="1"/>
  <c r="H66" i="34" s="1"/>
  <c r="D69" i="34" a="1"/>
  <c r="D69" i="34" s="1"/>
  <c r="F70" i="34" a="1"/>
  <c r="F70" i="34" s="1"/>
  <c r="E72" i="34" a="1"/>
  <c r="E72" i="34" s="1"/>
  <c r="D68" i="34" a="1"/>
  <c r="D68" i="34" s="1"/>
  <c r="H68" i="34" a="1"/>
  <c r="H68" i="34" s="1"/>
  <c r="F72" i="34" a="1"/>
  <c r="F72" i="34" s="1"/>
  <c r="H71" i="34" a="1"/>
  <c r="H71" i="34" s="1"/>
  <c r="D70" i="34" a="1"/>
  <c r="D70" i="34" s="1"/>
  <c r="G69" i="34" a="1"/>
  <c r="G69" i="34" s="1"/>
  <c r="F71" i="34" a="1"/>
  <c r="F71" i="34" s="1"/>
  <c r="I70" i="34" a="1"/>
  <c r="I70" i="34" s="1"/>
  <c r="E71" i="34" a="1"/>
  <c r="E71" i="34" s="1"/>
  <c r="H70" i="34" a="1"/>
  <c r="H70" i="34" s="1"/>
  <c r="D71" i="34" a="1"/>
  <c r="D71" i="34" s="1"/>
  <c r="G66" i="34" a="1"/>
  <c r="G66" i="34" s="1"/>
  <c r="F66" i="34" a="1"/>
  <c r="F66" i="34" s="1"/>
  <c r="C67" i="34" a="1"/>
  <c r="C67" i="34" s="1"/>
  <c r="C70" i="34" a="1"/>
  <c r="C70" i="34" s="1"/>
  <c r="C72" i="34" a="1"/>
  <c r="C72" i="34" s="1"/>
  <c r="G68" i="34" a="1"/>
  <c r="G68" i="34" s="1"/>
  <c r="C71" i="34" a="1"/>
  <c r="C71" i="34" s="1"/>
  <c r="C56" i="34" a="1"/>
  <c r="C56" i="34" s="1"/>
  <c r="G58" i="34" a="1"/>
  <c r="G58" i="34" s="1"/>
  <c r="H58" i="34" a="1"/>
  <c r="H58" i="34" s="1"/>
  <c r="E62" i="34" a="1"/>
  <c r="E62" i="34" s="1"/>
  <c r="G59" i="34" a="1"/>
  <c r="G59" i="34" s="1"/>
  <c r="I58" i="34" a="1"/>
  <c r="I58" i="34" s="1"/>
  <c r="F62" i="34" a="1"/>
  <c r="F62" i="34" s="1"/>
  <c r="I59" i="34" a="1"/>
  <c r="I59" i="34" s="1"/>
  <c r="H61" i="34" a="1"/>
  <c r="H61" i="34" s="1"/>
  <c r="F58" i="34" a="1"/>
  <c r="F58" i="34" s="1"/>
  <c r="F61" i="34" a="1"/>
  <c r="F61" i="34" s="1"/>
  <c r="F56" i="34" a="1"/>
  <c r="F56" i="34" s="1"/>
  <c r="H56" i="34" a="1"/>
  <c r="H56" i="34" s="1"/>
  <c r="F60" i="34" a="1"/>
  <c r="F60" i="34" s="1"/>
  <c r="D61" i="34" a="1"/>
  <c r="D61" i="34" s="1"/>
  <c r="D59" i="34" a="1"/>
  <c r="D59" i="34" s="1"/>
  <c r="G56" i="34" a="1"/>
  <c r="G56" i="34" s="1"/>
  <c r="I61" i="34" a="1"/>
  <c r="I61" i="34" s="1"/>
  <c r="I57" i="34" a="1"/>
  <c r="I57" i="34" s="1"/>
  <c r="G57" i="34" a="1"/>
  <c r="G57" i="34" s="1"/>
  <c r="E58" i="34" a="1"/>
  <c r="E58" i="34" s="1"/>
  <c r="H62" i="34" a="1"/>
  <c r="H62" i="34" s="1"/>
  <c r="E56" i="34" a="1"/>
  <c r="E56" i="34" s="1"/>
  <c r="G60" i="34" a="1"/>
  <c r="G60" i="34" s="1"/>
  <c r="E61" i="34" a="1"/>
  <c r="E61" i="34" s="1"/>
  <c r="F59" i="34" a="1"/>
  <c r="F59" i="34" s="1"/>
  <c r="C57" i="34" a="1"/>
  <c r="C57" i="34" s="1"/>
  <c r="C60" i="34" a="1"/>
  <c r="C60" i="34" s="1"/>
  <c r="D62" i="34" a="1"/>
  <c r="D62" i="34" s="1"/>
  <c r="C59" i="34" a="1"/>
  <c r="C59" i="34" s="1"/>
  <c r="D57" i="34" a="1"/>
  <c r="D57" i="34" s="1"/>
  <c r="E57" i="34" a="1"/>
  <c r="E57" i="34" s="1"/>
  <c r="D58" i="34" a="1"/>
  <c r="D58" i="34" s="1"/>
  <c r="D60" i="34" a="1"/>
  <c r="D60" i="34" s="1"/>
  <c r="I60" i="34" a="1"/>
  <c r="I60" i="34" s="1"/>
  <c r="C62" i="34" a="1"/>
  <c r="C62" i="34" s="1"/>
  <c r="C58" i="34" a="1"/>
  <c r="C58" i="34" s="1"/>
  <c r="G61" i="34" a="1"/>
  <c r="G61" i="34" s="1"/>
  <c r="G62" i="34" a="1"/>
  <c r="G62" i="34" s="1"/>
  <c r="D56" i="34" a="1"/>
  <c r="D56" i="34" s="1"/>
  <c r="C61" i="34" a="1"/>
  <c r="C61" i="34" s="1"/>
  <c r="H57" i="34" a="1"/>
  <c r="H57" i="34" s="1"/>
  <c r="I62" i="34" a="1"/>
  <c r="I62" i="34" s="1"/>
  <c r="I56" i="34" a="1"/>
  <c r="I56" i="34" s="1"/>
  <c r="E60" i="34" a="1"/>
  <c r="E60" i="34" s="1"/>
  <c r="F57" i="34" a="1"/>
  <c r="F57" i="34" s="1"/>
  <c r="E59" i="34" a="1"/>
  <c r="E59" i="34" s="1"/>
  <c r="H59" i="34" a="1"/>
  <c r="H59" i="34" s="1"/>
  <c r="H60" i="34" a="1"/>
  <c r="H60" i="34" s="1"/>
  <c r="C48" i="34"/>
  <c r="I107" i="34" s="1"/>
  <c r="C49" i="38"/>
  <c r="N27" i="7"/>
  <c r="H107" i="34" l="1"/>
  <c r="J107" i="34" s="1"/>
  <c r="I105" i="34"/>
  <c r="I106" i="34"/>
  <c r="H106" i="34"/>
  <c r="H105" i="34"/>
  <c r="I104" i="34"/>
  <c r="H104" i="34"/>
  <c r="I103" i="34"/>
  <c r="H103" i="34"/>
  <c r="I102" i="34"/>
  <c r="H102" i="34"/>
  <c r="I101" i="34"/>
  <c r="H101" i="34"/>
  <c r="H100" i="34"/>
  <c r="J100" i="34" s="1"/>
  <c r="C50" i="34"/>
  <c r="C51" i="38"/>
  <c r="M5" i="36"/>
  <c r="M6" i="36" s="1"/>
  <c r="L5" i="36"/>
  <c r="L6" i="36" s="1"/>
  <c r="G9" i="36"/>
  <c r="I5" i="36"/>
  <c r="I6" i="36" s="1"/>
  <c r="Y76" i="36" l="1"/>
  <c r="V76" i="36"/>
  <c r="Z76" i="36"/>
  <c r="K107" i="34"/>
  <c r="J101" i="34"/>
  <c r="J105" i="34"/>
  <c r="K106" i="34"/>
  <c r="J106" i="34"/>
  <c r="K105" i="34"/>
  <c r="K104" i="34"/>
  <c r="J104" i="34"/>
  <c r="K103" i="34"/>
  <c r="J103" i="34"/>
  <c r="K102" i="34"/>
  <c r="J102" i="34"/>
  <c r="K101" i="34"/>
  <c r="K100" i="34"/>
  <c r="C53" i="38"/>
  <c r="B72" i="38" s="1"/>
  <c r="J5" i="36"/>
  <c r="J6" i="36" s="1"/>
  <c r="K5" i="36"/>
  <c r="K6" i="36" s="1"/>
  <c r="G5" i="36"/>
  <c r="X76" i="36" l="1"/>
  <c r="W76" i="36"/>
  <c r="I9" i="36"/>
  <c r="I10" i="36" s="1"/>
  <c r="V77" i="36" s="1"/>
  <c r="J9" i="36" l="1"/>
  <c r="J10" i="36" s="1"/>
  <c r="W77" i="36" s="1"/>
  <c r="L9" i="36" l="1"/>
  <c r="L10" i="36" s="1"/>
  <c r="Y77" i="36" s="1"/>
  <c r="K9" i="36"/>
  <c r="K10" i="36" s="1"/>
  <c r="X77" i="36" s="1"/>
  <c r="M9" i="36" l="1"/>
  <c r="M10" i="36" s="1"/>
  <c r="Z77" i="36" s="1"/>
  <c r="K17" i="7" l="1"/>
  <c r="K28" i="7" s="1"/>
  <c r="I15" i="36"/>
  <c r="V63" i="36" s="1"/>
  <c r="I17" i="36"/>
  <c r="V65" i="36" s="1"/>
  <c r="I16" i="36"/>
  <c r="V64" i="36" s="1"/>
  <c r="N17" i="7"/>
  <c r="N28" i="7" s="1"/>
  <c r="L17" i="7"/>
  <c r="L28" i="7" s="1"/>
  <c r="L23" i="36"/>
  <c r="K20" i="36"/>
  <c r="X69" i="36" s="1"/>
  <c r="K22" i="36"/>
  <c r="X70" i="36" s="1"/>
  <c r="K21" i="36"/>
  <c r="G25" i="36"/>
  <c r="M25" i="36"/>
  <c r="Z51" i="36" s="1"/>
  <c r="I17" i="7"/>
  <c r="I28" i="7" s="1"/>
  <c r="M17" i="7"/>
  <c r="M28" i="7" s="1"/>
  <c r="I32" i="36"/>
  <c r="V58" i="36" s="1"/>
  <c r="I28" i="36"/>
  <c r="V53" i="36" s="1"/>
  <c r="I30" i="36"/>
  <c r="V57" i="36" s="1"/>
  <c r="K27" i="36"/>
  <c r="K31" i="36"/>
  <c r="G15" i="36"/>
  <c r="G16" i="36"/>
  <c r="G17" i="36"/>
  <c r="L16" i="36"/>
  <c r="Y64" i="36" s="1"/>
  <c r="L17" i="36"/>
  <c r="Y65" i="36" s="1"/>
  <c r="L15" i="36"/>
  <c r="Y63" i="36" s="1"/>
  <c r="I27" i="36"/>
  <c r="I31" i="36"/>
  <c r="I25" i="36"/>
  <c r="V51" i="36" s="1"/>
  <c r="J26" i="36"/>
  <c r="W52" i="36" s="1"/>
  <c r="J29" i="36"/>
  <c r="K25" i="36"/>
  <c r="X51" i="36" s="1"/>
  <c r="G23" i="36"/>
  <c r="K15" i="36"/>
  <c r="X63" i="36" s="1"/>
  <c r="K16" i="36"/>
  <c r="X64" i="36" s="1"/>
  <c r="K17" i="36"/>
  <c r="X65" i="36" s="1"/>
  <c r="L21" i="36"/>
  <c r="L20" i="36"/>
  <c r="Y69" i="36" s="1"/>
  <c r="L22" i="36"/>
  <c r="Y70" i="36" s="1"/>
  <c r="L26" i="36"/>
  <c r="Y52" i="36" s="1"/>
  <c r="L29" i="36"/>
  <c r="J25" i="36"/>
  <c r="W51" i="36" s="1"/>
  <c r="M28" i="36"/>
  <c r="Z53" i="36" s="1"/>
  <c r="M32" i="36"/>
  <c r="Z58" i="36" s="1"/>
  <c r="M30" i="36"/>
  <c r="Z57" i="36" s="1"/>
  <c r="M23" i="36"/>
  <c r="G20" i="36"/>
  <c r="G21" i="36"/>
  <c r="G22" i="36"/>
  <c r="M20" i="36"/>
  <c r="Z69" i="36" s="1"/>
  <c r="M21" i="36"/>
  <c r="M22" i="36"/>
  <c r="Z70" i="36" s="1"/>
  <c r="K28" i="36"/>
  <c r="X53" i="36" s="1"/>
  <c r="K32" i="36"/>
  <c r="X58" i="36" s="1"/>
  <c r="K30" i="36"/>
  <c r="X57" i="36" s="1"/>
  <c r="J23" i="36"/>
  <c r="L31" i="36"/>
  <c r="L27" i="36"/>
  <c r="I29" i="36"/>
  <c r="I26" i="36"/>
  <c r="V52" i="36" s="1"/>
  <c r="G13" i="36"/>
  <c r="G7" i="36"/>
  <c r="G12" i="36"/>
  <c r="G11" i="36"/>
  <c r="L32" i="36"/>
  <c r="Y58" i="36" s="1"/>
  <c r="L30" i="36"/>
  <c r="Y57" i="36" s="1"/>
  <c r="L28" i="36"/>
  <c r="Y53" i="36" s="1"/>
  <c r="J27" i="36"/>
  <c r="J31" i="36"/>
  <c r="L25" i="36"/>
  <c r="Y51" i="36" s="1"/>
  <c r="M27" i="36"/>
  <c r="M31" i="36"/>
  <c r="G28" i="36"/>
  <c r="G30" i="36"/>
  <c r="G32" i="36"/>
  <c r="J32" i="36"/>
  <c r="W58" i="36" s="1"/>
  <c r="J28" i="36"/>
  <c r="W53" i="36" s="1"/>
  <c r="J30" i="36"/>
  <c r="W57" i="36" s="1"/>
  <c r="J17" i="7"/>
  <c r="J28" i="7" s="1"/>
  <c r="I22" i="36"/>
  <c r="V70" i="36" s="1"/>
  <c r="I21" i="36"/>
  <c r="I20" i="36"/>
  <c r="V69" i="36" s="1"/>
  <c r="I11" i="36"/>
  <c r="I13" i="36"/>
  <c r="V82" i="36" s="1"/>
  <c r="I7" i="36"/>
  <c r="I8" i="36" s="1"/>
  <c r="I12" i="36"/>
  <c r="V81" i="36" s="1"/>
  <c r="J16" i="36"/>
  <c r="W64" i="36" s="1"/>
  <c r="J15" i="36"/>
  <c r="W63" i="36" s="1"/>
  <c r="J17" i="36"/>
  <c r="W65" i="36" s="1"/>
  <c r="K23" i="36"/>
  <c r="J21" i="36"/>
  <c r="J22" i="36"/>
  <c r="W70" i="36" s="1"/>
  <c r="J20" i="36"/>
  <c r="W69" i="36" s="1"/>
  <c r="M15" i="36"/>
  <c r="Z63" i="36" s="1"/>
  <c r="M17" i="36"/>
  <c r="Z65" i="36" s="1"/>
  <c r="M16" i="36"/>
  <c r="Z64" i="36" s="1"/>
  <c r="G29" i="36"/>
  <c r="G26" i="36"/>
  <c r="M26" i="36"/>
  <c r="Z52" i="36" s="1"/>
  <c r="M29" i="36"/>
  <c r="J11" i="36"/>
  <c r="J12" i="36"/>
  <c r="W81" i="36" s="1"/>
  <c r="J7" i="36"/>
  <c r="J8" i="36" s="1"/>
  <c r="J13" i="36"/>
  <c r="W82" i="36" s="1"/>
  <c r="M7" i="36"/>
  <c r="M8" i="36" s="1"/>
  <c r="M13" i="36"/>
  <c r="Z82" i="36" s="1"/>
  <c r="M12" i="36"/>
  <c r="Z81" i="36" s="1"/>
  <c r="M11" i="36"/>
  <c r="K11" i="36"/>
  <c r="K13" i="36"/>
  <c r="X82" i="36" s="1"/>
  <c r="K12" i="36"/>
  <c r="X81" i="36" s="1"/>
  <c r="K7" i="36"/>
  <c r="K8" i="36" s="1"/>
  <c r="L12" i="36"/>
  <c r="Y81" i="36" s="1"/>
  <c r="L11" i="36"/>
  <c r="L7" i="36"/>
  <c r="L8" i="36" s="1"/>
  <c r="L13" i="36"/>
  <c r="Y82" i="36" s="1"/>
  <c r="K26" i="36"/>
  <c r="X52" i="36" s="1"/>
  <c r="K29" i="36"/>
  <c r="G27" i="36"/>
  <c r="G31" i="36"/>
  <c r="I23" i="36"/>
  <c r="H20" i="36"/>
  <c r="U69" i="36" s="1"/>
  <c r="H22" i="36"/>
  <c r="U70" i="36" s="1"/>
  <c r="I18" i="32"/>
  <c r="I14" i="32" s="1"/>
  <c r="J18" i="32"/>
  <c r="J14" i="32" s="1"/>
  <c r="H31" i="36"/>
  <c r="H21" i="36"/>
  <c r="I19" i="31"/>
  <c r="I18" i="31" s="1"/>
  <c r="I34" i="31" s="1"/>
  <c r="X75" i="36" l="1"/>
  <c r="K18" i="36"/>
  <c r="V75" i="36"/>
  <c r="I18" i="36"/>
  <c r="W75" i="36"/>
  <c r="J18" i="36"/>
  <c r="Y75" i="36"/>
  <c r="L18" i="36"/>
  <c r="Z75" i="36"/>
  <c r="M18" i="36"/>
  <c r="J23" i="32"/>
  <c r="I34" i="38"/>
  <c r="I23" i="32"/>
  <c r="H34" i="38"/>
  <c r="H11" i="36"/>
  <c r="H17" i="36"/>
  <c r="U65" i="36" s="1"/>
  <c r="H15" i="36"/>
  <c r="U63" i="36" s="1"/>
  <c r="H16" i="36"/>
  <c r="U64" i="3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Hoang Tran</author>
  </authors>
  <commentList>
    <comment ref="E30" authorId="0" shapeId="0" xr:uid="{D57085A5-DD37-4758-B2B1-65F87F779192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Giả định không có công cụ dịch chuyển =&gt; diluted = basic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Son Tung</author>
  </authors>
  <commentList>
    <comment ref="E108" authorId="0" shapeId="0" xr:uid="{87180664-CD41-481E-875B-D210791FEF6A}">
      <text>
        <r>
          <rPr>
            <b/>
            <sz val="9"/>
            <color indexed="81"/>
            <rFont val="Tahoma"/>
            <family val="2"/>
          </rPr>
          <t>Vu Son Tung:</t>
        </r>
        <r>
          <rPr>
            <sz val="9"/>
            <color indexed="81"/>
            <rFont val="Tahoma"/>
            <family val="2"/>
          </rPr>
          <t xml:space="preserve">
do đổi kiểm toán nên phí công đoàn và cổ tức phải trả được dồn vô khoản thu hộ h
ãng tàu. Khoản 549 tỷ được hạch toán do chưa thực hiện xong việc tăng vốn</t>
        </r>
      </text>
    </comment>
    <comment ref="E117" authorId="0" shapeId="0" xr:uid="{DA26D7A3-A1A8-40DB-8265-58149774D771}">
      <text>
        <r>
          <rPr>
            <b/>
            <sz val="9"/>
            <color indexed="81"/>
            <rFont val="Tahoma"/>
            <family val="2"/>
          </rPr>
          <t>Vu Son Tung:</t>
        </r>
        <r>
          <rPr>
            <sz val="9"/>
            <color indexed="81"/>
            <rFont val="Tahoma"/>
            <family val="2"/>
          </rPr>
          <t xml:space="preserve">
Vốn chủ bị trừ do công ty chưa tăng vốn thành công tính tới 31/12/2021 ( khoản này sẽ được hạch toán vào nợ ngắn hạn khác)
</t>
        </r>
      </text>
    </comment>
    <comment ref="H142" authorId="0" shapeId="0" xr:uid="{7E6A74B9-B52E-4018-A091-8AB4DF182AA6}">
      <text>
        <r>
          <rPr>
            <b/>
            <sz val="9"/>
            <color indexed="81"/>
            <rFont val="Tahoma"/>
            <family val="2"/>
          </rPr>
          <t>Vu Son Tung:</t>
        </r>
        <r>
          <rPr>
            <sz val="9"/>
            <color indexed="81"/>
            <rFont val="Tahoma"/>
            <family val="2"/>
          </rPr>
          <t xml:space="preserve">
Chứng khoán kinh doanh + thoái vốn công ty liên kết
</t>
        </r>
      </text>
    </comment>
    <comment ref="H147" authorId="0" shapeId="0" xr:uid="{2522BFC8-2714-4126-973D-B398CD6481AA}">
      <text>
        <r>
          <rPr>
            <b/>
            <sz val="9"/>
            <color indexed="81"/>
            <rFont val="Tahoma"/>
            <family val="2"/>
          </rPr>
          <t>Vu Son Tung:</t>
        </r>
        <r>
          <rPr>
            <sz val="9"/>
            <color indexed="81"/>
            <rFont val="Tahoma"/>
            <family val="2"/>
          </rPr>
          <t xml:space="preserve">
đánh giá lại giá trị hợp lý khoản đầu tư công ty liên kết + hoạt động tài chính khác 
</t>
        </r>
      </text>
    </comment>
    <comment ref="G161" authorId="0" shapeId="0" xr:uid="{48592BC7-72BB-46FE-8D0D-0148855F7CBC}">
      <text>
        <r>
          <rPr>
            <b/>
            <sz val="9"/>
            <color indexed="81"/>
            <rFont val="Tahoma"/>
            <family val="2"/>
          </rPr>
          <t>Vu Son Tung:</t>
        </r>
        <r>
          <rPr>
            <sz val="9"/>
            <color indexed="81"/>
            <rFont val="Tahoma"/>
            <family val="2"/>
          </rPr>
          <t xml:space="preserve">
chi phí dịch vụ mua ngoài + chi phí bốc dỡ, đóng hàng + chi nhà thầu phụ của các cảng, các bãi 
</t>
        </r>
      </text>
    </comment>
    <comment ref="G162" authorId="0" shapeId="0" xr:uid="{28D97C8D-41EB-4B53-98CC-E37740E6AB3C}">
      <text>
        <r>
          <rPr>
            <b/>
            <sz val="9"/>
            <color indexed="81"/>
            <rFont val="Tahoma"/>
            <family val="2"/>
          </rPr>
          <t>Vu Son Tung:</t>
        </r>
        <r>
          <rPr>
            <sz val="9"/>
            <color indexed="81"/>
            <rFont val="Tahoma"/>
            <family val="2"/>
          </rPr>
          <t xml:space="preserve">
chi phí hoa hồng + chi phí công cụ, dụng cụ + khác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Hoang Tran</author>
  </authors>
  <commentList>
    <comment ref="Q33" authorId="0" shapeId="0" xr:uid="{F10721DB-9314-4DDE-B3A5-66D2A447293C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Tỷ lệ 35% — có thể là công ty liên kết thay vì con (theo IFRS thresholds)</t>
        </r>
      </text>
    </comment>
    <comment ref="C55" authorId="0" shapeId="0" xr:uid="{3AD8AD84-156A-453F-94AD-C8092DBFF8C6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Source: Vietstock, https://finance.vietstock.vn/YEG-ctcp-tap-doan-yeah1.htm</t>
        </r>
      </text>
    </comment>
    <comment ref="C57" authorId="0" shapeId="0" xr:uid="{A7B3ADD4-5F77-4545-85FB-7BFFCE759553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Source: Vietstock, https://finance.vietstock.vn/YEG-ctcp-tap-doan-yeah1.htm. Tên gốc: CTCP Tập đoàn Đại Sứ Trẻ (Young Ambassador Group)</t>
        </r>
      </text>
    </comment>
    <comment ref="C58" authorId="0" shapeId="0" xr:uid="{5B8CEAA8-4DA1-4E05-847B-F6DEE8A0F437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Source: Vietstock, https://finance.vietstock.vn/YEG-ctcp-tap-doan-yeah1.htm</t>
        </r>
      </text>
    </comment>
    <comment ref="C59" authorId="0" shapeId="0" xr:uid="{620F806D-282D-47AA-B265-A3B431AEC8DE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Source: Vietstock, https://finance.vietstock.vn/YEG-ctcp-tap-doan-yeah1.htm. Giá tham chiếu IPO: 250,000 VND/CP</t>
        </r>
      </text>
    </comment>
    <comment ref="C60" authorId="0" shapeId="0" xr:uid="{A3B79221-0F75-4631-9567-B7DE777EC157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Source: Vietstock, https://finance.vietstock.vn/YEG-ctcp-tap-doan-yeah1.htm?tab=BCTQ&amp;languageid=2. Lịch sử: 11/01/2024 → 1,313.5B; 09/07/2024 → 1,370B; 03/2025 → 1,918B</t>
        </r>
      </text>
    </comment>
    <comment ref="C62" authorId="0" shapeId="0" xr:uid="{92819F5D-B78D-4FC1-BCA1-F652C8DB1F12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Source: Vietstock, https://finance.vietstock.vn/YEG-ctcp-tap-doan-yeah1.htm</t>
        </r>
      </text>
    </comment>
    <comment ref="C63" authorId="0" shapeId="0" xr:uid="{0322D2BD-8B45-41AE-A94F-BE82CD6F68A5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Source: Vietstock, https://finance.vietstock.vn/YEG-ctcp-tap-doan-yeah1.htm?tab=BCTQ&amp;languageid=2</t>
        </r>
      </text>
    </comment>
    <comment ref="C64" authorId="0" shapeId="0" xr:uid="{B04065D2-61EE-438E-B23D-03346EBE92FC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Source: Vietstock company profile + AGM 2025 disclosure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Son Tung</author>
  </authors>
  <commentList>
    <comment ref="B6" authorId="0" shapeId="0" xr:uid="{DBE233EE-4F94-4739-9E71-51807B7F05C9}">
      <text>
        <r>
          <rPr>
            <b/>
            <sz val="9"/>
            <color indexed="81"/>
            <rFont val="Tahoma"/>
            <family val="2"/>
          </rPr>
          <t>Vu Son Tung:</t>
        </r>
        <r>
          <rPr>
            <sz val="9"/>
            <color indexed="81"/>
            <rFont val="Tahoma"/>
            <family val="2"/>
          </rPr>
          <t xml:space="preserve">
Doanh thu bốc dỡ container
Doanh thu nâng hạ trong bãi
Doanh thu lưu bãi, chạy lạnh, kiểm hóa, kiểm dịch</t>
        </r>
      </text>
    </comment>
    <comment ref="B7" authorId="0" shapeId="0" xr:uid="{B999E109-C8F5-49CB-955F-CD8ECBABAC70}">
      <text>
        <r>
          <rPr>
            <b/>
            <sz val="9"/>
            <color indexed="81"/>
            <rFont val="Tahoma"/>
            <family val="2"/>
          </rPr>
          <t>Vu Son Tung:</t>
        </r>
        <r>
          <rPr>
            <sz val="9"/>
            <color indexed="81"/>
            <rFont val="Tahoma"/>
            <family val="2"/>
          </rPr>
          <t xml:space="preserve">
Doanh thu dịch vụ vận chuyển
Doanh thu từ trạm giao nhận hàng lẻ (CFS – Container Freight Station)</t>
        </r>
      </text>
    </comment>
    <comment ref="B8" authorId="0" shapeId="0" xr:uid="{48847E2B-D496-40D9-9CF9-00C107B394B8}">
      <text>
        <r>
          <rPr>
            <b/>
            <sz val="9"/>
            <color indexed="81"/>
            <rFont val="Tahoma"/>
            <family val="2"/>
          </rPr>
          <t>Vu Son Tung:</t>
        </r>
        <r>
          <rPr>
            <sz val="9"/>
            <color indexed="81"/>
            <rFont val="Tahoma"/>
            <family val="2"/>
          </rPr>
          <t xml:space="preserve">
Doanh thu dịch vụ chuyển tiếp (transshipment / forwarding)
Doanh thu cung cấp dịch vụ khác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Hoang Tran</author>
    <author>Nguyen Minh Khoi</author>
  </authors>
  <commentList>
    <comment ref="I7" authorId="0" shapeId="0" xr:uid="{64AA89FB-9518-4910-9556-29B97DC36EEA}">
      <text>
        <r>
          <rPr>
            <b/>
            <sz val="9"/>
            <color indexed="81"/>
            <rFont val="Tahoma"/>
            <charset val="1"/>
          </rPr>
          <t>Moderate: 30% (vs hiện tại 25%) — vẫn cắt một nửa từ 2025 actual 60%, phản ánh JV concert chưa fully sustainable nhưng macro VN +8% GDP support</t>
        </r>
      </text>
    </comment>
    <comment ref="J7" authorId="0" shapeId="0" xr:uid="{7E1CA685-E553-4DA9-A3E1-E60F66848F37}">
      <text>
        <r>
          <rPr>
            <b/>
            <sz val="9"/>
            <color indexed="81"/>
            <rFont val="Tahoma"/>
            <charset val="1"/>
          </rPr>
          <t>Moderate: 22% (vs 18%) — taper xuống dần, vẫn trên GDP nominal +11-12%</t>
        </r>
      </text>
    </comment>
    <comment ref="K7" authorId="0" shapeId="0" xr:uid="{D1F6D6B0-EC27-4F77-AABB-C917CAF9D99A}">
      <text>
        <r>
          <rPr>
            <b/>
            <sz val="9"/>
            <color indexed="81"/>
            <rFont val="Tahoma"/>
            <charset val="1"/>
          </rPr>
          <t>Moderate: 15% (vs 13%)</t>
        </r>
      </text>
    </comment>
    <comment ref="L7" authorId="0" shapeId="0" xr:uid="{16ED7180-BF3D-495C-A042-D0A14F8B7D86}">
      <text>
        <r>
          <rPr>
            <b/>
            <sz val="9"/>
            <color indexed="81"/>
            <rFont val="Tahoma"/>
            <charset val="1"/>
          </rPr>
          <t>Moderate: 11% (vs 9%)</t>
        </r>
      </text>
    </comment>
    <comment ref="M7" authorId="0" shapeId="0" xr:uid="{80B60B60-59D9-45CC-B4B7-4D16009BC468}">
      <text>
        <r>
          <rPr>
            <b/>
            <sz val="9"/>
            <color indexed="81"/>
            <rFont val="Tahoma"/>
            <charset val="1"/>
          </rPr>
          <t>Moderate: 8% (vs 6%) — bằng GDP target 8%</t>
        </r>
      </text>
    </comment>
    <comment ref="N7" authorId="0" shapeId="0" xr:uid="{58DE74DC-66D3-4EB8-8F3E-CE1984BC457E}">
      <text>
        <r>
          <rPr>
            <b/>
            <sz val="9"/>
            <color indexed="81"/>
            <rFont val="Tahoma"/>
            <charset val="1"/>
          </rPr>
          <t>Moderate: 5% terminal (vs 4%) — slightly above terminal g 2.5%, phản ánh growth premium VN</t>
        </r>
      </text>
    </comment>
    <comment ref="I8" authorId="0" shapeId="0" xr:uid="{1544B4AE-0D41-408B-B3E2-6B10BA991BB9}">
      <text>
        <r>
          <rPr>
            <b/>
            <sz val="9"/>
            <color indexed="81"/>
            <rFont val="Tahoma"/>
            <charset val="1"/>
          </rPr>
          <t>Moderate: 87% (vs 89%) — gần với 2025 actual 86.9%, không tự tăng ngược trend</t>
        </r>
      </text>
    </comment>
    <comment ref="J8" authorId="0" shapeId="0" xr:uid="{C783D68E-9816-4A33-A6AE-9D089516ECF4}">
      <text>
        <r>
          <rPr>
            <b/>
            <sz val="9"/>
            <color indexed="81"/>
            <rFont val="Tahoma"/>
            <charset val="1"/>
          </rPr>
          <t>Moderate: 86% — giả định cải thiện nhẹ qua scale</t>
        </r>
      </text>
    </comment>
    <comment ref="K8" authorId="0" shapeId="0" xr:uid="{75E36136-DDA9-4FE2-B9B8-ED4F46A220B3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Moderate: 84%</t>
        </r>
      </text>
    </comment>
    <comment ref="L8" authorId="0" shapeId="0" xr:uid="{CC8424B1-A4AE-4FFB-A69B-771247BCEF39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Moderate: 82%</t>
        </r>
      </text>
    </comment>
    <comment ref="M8" authorId="0" shapeId="0" xr:uid="{02CC3684-3C23-4E17-8B98-F1505D075899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Moderate: 81%</t>
        </r>
      </text>
    </comment>
    <comment ref="N8" authorId="0" shapeId="0" xr:uid="{60732340-1B59-437F-8B3C-2B21ECF6A7F2}">
      <text>
        <r>
          <rPr>
            <b/>
            <sz val="9"/>
            <color indexed="81"/>
            <rFont val="Tahoma"/>
            <charset val="1"/>
          </rPr>
          <t>Moderate terminal: 81%</t>
        </r>
      </text>
    </comment>
    <comment ref="I9" authorId="0" shapeId="0" xr:uid="{95870C74-65B5-4EFA-B017-4F321826D1F6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Selling expenses: 2024=2.6%, 2025=2.4%. Avg 2022-24 = 4.2% không còn phù hợp.</t>
        </r>
      </text>
    </comment>
    <comment ref="I10" authorId="0" shapeId="0" xr:uid="{C9220F88-DED9-47E2-80FB-65F999B8EA50}">
      <text>
        <r>
          <rPr>
            <b/>
            <sz val="9"/>
            <color indexed="81"/>
            <rFont val="Tahoma"/>
            <charset val="1"/>
          </rPr>
          <t>Moderate: 12% (vs 13%) — gần 2025 actual 10.2%, cho buffer nhẹ</t>
        </r>
      </text>
    </comment>
    <comment ref="J10" authorId="0" shapeId="0" xr:uid="{A9CB0718-3D21-4B62-AE9A-2DE418BC0B98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Moderate: 11% — giảm dần qua scale</t>
        </r>
      </text>
    </comment>
    <comment ref="K10" authorId="0" shapeId="0" xr:uid="{DA5AF407-FCE3-4EC3-8BD1-F2E2C90CB31E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Moderate: 10.5%</t>
        </r>
      </text>
    </comment>
    <comment ref="L10" authorId="0" shapeId="0" xr:uid="{7712F18A-1E50-4162-9904-8E713B242F9B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Moderate: 10.5%</t>
        </r>
      </text>
    </comment>
    <comment ref="M10" authorId="0" shapeId="0" xr:uid="{EF5116AB-6187-4EF9-9AA2-E17F84968455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Moderate: 10.5%</t>
        </r>
      </text>
    </comment>
    <comment ref="N10" authorId="0" shapeId="0" xr:uid="{E4D09F89-1DAA-47CC-BE6E-D3C65F941CCB}">
      <text>
        <r>
          <rPr>
            <b/>
            <sz val="9"/>
            <color indexed="81"/>
            <rFont val="Tahoma"/>
            <charset val="1"/>
          </rPr>
          <t>Moderate terminal: 10.5%</t>
        </r>
      </text>
    </comment>
    <comment ref="I11" authorId="0" shapeId="0" xr:uid="{8FE902E0-3D1A-42FB-8474-1B4E53B8473E}">
      <text>
        <r>
          <rPr>
            <b/>
            <sz val="9"/>
            <color indexed="81"/>
            <rFont val="Tahoma"/>
            <charset val="1"/>
          </rPr>
          <t>Method 2 fixed: 250 bn 2026F (~2024 actual 254 bn). Asset-light media biz — D&amp;A không scale theo revenue.</t>
        </r>
      </text>
    </comment>
    <comment ref="J11" authorId="0" shapeId="0" xr:uid="{EDCF933D-9250-4A5E-B6C2-B25BAE2B79BB}">
      <text>
        <r>
          <rPr>
            <b/>
            <sz val="9"/>
            <color indexed="81"/>
            <rFont val="Tahoma"/>
            <charset val="1"/>
          </rPr>
          <t>+5%/yr CapEx + content investment growth</t>
        </r>
      </text>
    </comment>
    <comment ref="K11" authorId="0" shapeId="0" xr:uid="{7B0022C3-016E-4A4B-92B9-914B9CAA521F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D&amp;A % revenue = MEDIAN 2021-2024 (loại outlier)</t>
        </r>
      </text>
    </comment>
    <comment ref="L11" authorId="0" shapeId="0" xr:uid="{E70A55D8-54A1-4951-B9A4-EEEB592FBB49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D&amp;A % revenue = MEDIAN 2021-2024 (loại outlier)</t>
        </r>
      </text>
    </comment>
    <comment ref="M11" authorId="0" shapeId="0" xr:uid="{C184C0A4-46DD-4F61-9844-BC07BA4B123A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D&amp;A % revenue = MEDIAN 2021-2024 (loại outlier)</t>
        </r>
      </text>
    </comment>
    <comment ref="N11" authorId="0" shapeId="0" xr:uid="{97710966-5790-4978-A3FB-C578687376EF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D&amp;A % revenue = MEDIAN 2021-2024 (loại outlier)</t>
        </r>
      </text>
    </comment>
    <comment ref="I12" authorId="0" shapeId="0" xr:uid="{6276147E-DEF7-476A-89DE-2816BB759F6C}">
      <text>
        <r>
          <rPr>
            <b/>
            <sz val="9"/>
            <color indexed="81"/>
            <rFont val="Tahoma"/>
            <charset val="1"/>
          </rPr>
          <t>Financial income%: -2pp từ 8%→6% — giả định lãi suất tiền gửi giảm + investment portfolio thu hẹp</t>
        </r>
      </text>
    </comment>
    <comment ref="I16" authorId="0" shapeId="0" xr:uid="{E424BAAB-ADDE-424C-AC5B-54769ACF9958}">
      <text>
        <r>
          <rPr>
            <b/>
            <sz val="9"/>
            <color indexed="81"/>
            <rFont val="Tahoma"/>
            <charset val="1"/>
          </rPr>
          <t>Days AR: 2025=291 ngày là bất thường (~80% revenue nằm ở AR). Khi nhiều concert/season, AR quay vòng nhanh hơn. Target 80 ngày ổn định.</t>
        </r>
      </text>
    </comment>
    <comment ref="I18" authorId="0" shapeId="0" xr:uid="{00464061-0618-4DDA-8703-144F192848EC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Days in AP: giữ = 2025 (38 ngày)</t>
        </r>
      </text>
    </comment>
    <comment ref="I21" authorId="0" shapeId="0" xr:uid="{5BD77EDB-5949-4F96-8077-48FA73304095}">
      <text>
        <r>
          <rPr>
            <b/>
            <sz val="9"/>
            <color indexed="81"/>
            <rFont val="Tahoma"/>
            <charset val="1"/>
          </rPr>
          <t>CapEx%: media biz asset-light, 2025 actual = 6%. Median 2021-24 = 10.5% bao gom giai đoạn TV business cũ không còn relevant.</t>
        </r>
      </text>
    </comment>
    <comment ref="J21" authorId="0" shapeId="0" xr:uid="{C45A6E73-140C-4762-90A3-E09F6FA65D2C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CapEx % revenue = MEDIAN 2021-2024</t>
        </r>
      </text>
    </comment>
    <comment ref="K21" authorId="0" shapeId="0" xr:uid="{578C229A-D921-4519-96DF-74E0EB9A706C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CapEx % revenue = MEDIAN 2021-2024</t>
        </r>
      </text>
    </comment>
    <comment ref="L21" authorId="0" shapeId="0" xr:uid="{BD6FB534-48C5-456A-A514-BD0DEB6EB3CB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CapEx % revenue = MEDIAN 2021-2024</t>
        </r>
      </text>
    </comment>
    <comment ref="M21" authorId="0" shapeId="0" xr:uid="{53E2FAA4-3AB9-4395-B4A5-22EBC3D97047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CapEx % revenue = MEDIAN 2021-2024</t>
        </r>
      </text>
    </comment>
    <comment ref="N21" authorId="0" shapeId="0" xr:uid="{B2C34575-6EE6-494E-86B8-22D669173CC3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CapEx % revenue = MEDIAN 2021-2024</t>
        </r>
      </text>
    </comment>
    <comment ref="I24" authorId="0" shapeId="0" xr:uid="{36267EA5-C866-491D-9573-D2CFBFAB8731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ST debt: giữ = 2025 (304B)</t>
        </r>
      </text>
    </comment>
    <comment ref="I25" authorId="0" shapeId="0" xr:uid="{61C90A37-D6F2-49BA-B64B-172513420A77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LT debt: giữ = 2025</t>
        </r>
      </text>
    </comment>
    <comment ref="I26" authorId="0" shapeId="0" xr:uid="{47F15F12-7928-4033-BDF5-3A49B70D4262}">
      <text>
        <r>
          <rPr>
            <b/>
            <sz val="9"/>
            <color indexed="81"/>
            <rFont val="Tahoma"/>
            <charset val="1"/>
          </rPr>
          <t>Dividend payout: 2 năm đầu giữ 0% để fund growth (Premium Content + JV).</t>
        </r>
      </text>
    </comment>
    <comment ref="G53" authorId="1" shapeId="0" xr:uid="{B42D48A9-677D-494F-8843-A370968A6512}">
      <text>
        <r>
          <rPr>
            <b/>
            <sz val="9"/>
            <color indexed="81"/>
            <rFont val="Tahoma"/>
            <family val="2"/>
          </rPr>
          <t>Nguyen Minh Khoi:</t>
        </r>
        <r>
          <rPr>
            <sz val="9"/>
            <color indexed="81"/>
            <rFont val="Tahoma"/>
            <family val="2"/>
          </rPr>
          <t xml:space="preserve">
Worldbank Pinksheet</t>
        </r>
      </text>
    </comment>
    <comment ref="H53" authorId="1" shapeId="0" xr:uid="{3473D7F6-ACA6-469A-B743-70DFAC1D726B}">
      <text>
        <r>
          <rPr>
            <sz val="11"/>
            <color theme="1"/>
            <rFont val="Calibri"/>
            <family val="2"/>
            <scheme val="minor"/>
          </rPr>
          <t>Nguyen Minh Khoi:
Forecast of Worldbank in 2024 CMO reports and ADRPR</t>
        </r>
      </text>
    </comment>
    <comment ref="G55" authorId="1" shapeId="0" xr:uid="{11E15565-959D-4CD9-A76C-35A32768BD89}">
      <text>
        <r>
          <rPr>
            <b/>
            <sz val="9"/>
            <color indexed="81"/>
            <rFont val="Tahoma"/>
            <family val="2"/>
          </rPr>
          <t>Nguyen Minh Khoi:</t>
        </r>
        <r>
          <rPr>
            <sz val="9"/>
            <color indexed="81"/>
            <rFont val="Tahoma"/>
            <family val="2"/>
          </rPr>
          <t xml:space="preserve">
Worldbank Pinksheet</t>
        </r>
      </text>
    </comment>
    <comment ref="H55" authorId="1" shapeId="0" xr:uid="{8BDEBA71-646D-4192-9BA1-282CEFCA4FB8}">
      <text>
        <r>
          <rPr>
            <b/>
            <sz val="9"/>
            <color indexed="81"/>
            <rFont val="Tahoma"/>
            <family val="2"/>
          </rPr>
          <t>Nguyen Minh Khoi:</t>
        </r>
        <r>
          <rPr>
            <sz val="9"/>
            <color indexed="81"/>
            <rFont val="Tahoma"/>
            <family val="2"/>
          </rPr>
          <t xml:space="preserve">
Forecast of Worldbank in 2024 CMO reports</t>
        </r>
      </text>
    </comment>
    <comment ref="I55" authorId="1" shapeId="0" xr:uid="{AD6E8A97-81DA-415D-BCB0-F4CEAC81D469}">
      <text>
        <r>
          <rPr>
            <b/>
            <sz val="9"/>
            <color indexed="81"/>
            <rFont val="Tahoma"/>
            <family val="2"/>
          </rPr>
          <t>Nguyen Minh Khoi:</t>
        </r>
        <r>
          <rPr>
            <sz val="9"/>
            <color indexed="81"/>
            <rFont val="Tahoma"/>
            <family val="2"/>
          </rPr>
          <t xml:space="preserve">
CMO Report
</t>
        </r>
      </text>
    </comment>
    <comment ref="H57" authorId="1" shapeId="0" xr:uid="{66269C6D-1769-4DD1-AE67-FBE7243552D6}">
      <text>
        <r>
          <rPr>
            <b/>
            <sz val="9"/>
            <color indexed="81"/>
            <rFont val="Tahoma"/>
            <family val="2"/>
          </rPr>
          <t>Nguyen Minh Khoi:</t>
        </r>
        <r>
          <rPr>
            <sz val="9"/>
            <color indexed="81"/>
            <rFont val="Tahoma"/>
            <family val="2"/>
          </rPr>
          <t xml:space="preserve">
EIA forecast</t>
        </r>
      </text>
    </comment>
    <comment ref="I57" authorId="1" shapeId="0" xr:uid="{AD732297-3481-48DB-954C-0C263393E963}">
      <text>
        <r>
          <rPr>
            <b/>
            <sz val="9"/>
            <color indexed="81"/>
            <rFont val="Tahoma"/>
            <family val="2"/>
          </rPr>
          <t>Nguyen Minh Khoi:</t>
        </r>
        <r>
          <rPr>
            <sz val="9"/>
            <color indexed="81"/>
            <rFont val="Tahoma"/>
            <family val="2"/>
          </rPr>
          <t xml:space="preserve">
EIA May 2024
https://www.eia.gov/todayinenergy/detail.php?id=61222</t>
        </r>
      </text>
    </comment>
    <comment ref="N57" authorId="1" shapeId="0" xr:uid="{873454AE-C1BD-4AC0-AEBA-C82934A0B4ED}">
      <text>
        <r>
          <rPr>
            <b/>
            <sz val="9"/>
            <color indexed="81"/>
            <rFont val="Tahoma"/>
            <family val="2"/>
          </rPr>
          <t>Nguyen Minh Khoi:</t>
        </r>
        <r>
          <rPr>
            <sz val="9"/>
            <color indexed="81"/>
            <rFont val="Tahoma"/>
            <family val="2"/>
          </rPr>
          <t xml:space="preserve">
Oil price prediction 2024: The market should gradually return to moderate inventory builds in 2025 after the expiration of voluntary OPEC+ supply cuts in 4Q24 and after forecast supply growth from countries outside of OPEC+ begins to offset growth in global oil demand.  EIA forecast Brent crude oil prices will average $89/b for the remainder of 2024 and $91/b in 1Q25.  
Oil price prediction for the next 5 years and beyond: some expect demand for fossil fuels could fall in the medium-to-long-term, leading to a lower oil price in 5-10 years’ time. EIA expects the average Brent crude prices at $61/bbl in 2025 and $73/bbl in 2030.  </t>
        </r>
      </text>
    </comment>
    <comment ref="G69" authorId="1" shapeId="0" xr:uid="{BAD078D7-CC70-4104-AE5E-AF3B9BF170B7}">
      <text>
        <r>
          <rPr>
            <b/>
            <sz val="9"/>
            <color indexed="81"/>
            <rFont val="Tahoma"/>
            <family val="2"/>
          </rPr>
          <t>Nguyen Minh Khoi:</t>
        </r>
        <r>
          <rPr>
            <sz val="9"/>
            <color indexed="81"/>
            <rFont val="Tahoma"/>
            <family val="2"/>
          </rPr>
          <t xml:space="preserve">
Worldbank Pinksheet</t>
        </r>
      </text>
    </comment>
    <comment ref="H69" authorId="1" shapeId="0" xr:uid="{A3B7F0C4-A8E2-4FD3-8EF8-FEDFE9615AC3}">
      <text>
        <r>
          <rPr>
            <b/>
            <sz val="9"/>
            <color indexed="81"/>
            <rFont val="Tahoma"/>
            <family val="2"/>
          </rPr>
          <t>Nguyen Minh Khoi:</t>
        </r>
        <r>
          <rPr>
            <sz val="9"/>
            <color indexed="81"/>
            <rFont val="Tahoma"/>
            <family val="2"/>
          </rPr>
          <t xml:space="preserve">
Forecast of Worldbank in 2024 CMO reports</t>
        </r>
      </text>
    </comment>
    <comment ref="I69" authorId="1" shapeId="0" xr:uid="{FCA31BD4-5595-4CE8-8F45-AB75E9C41FA2}">
      <text>
        <r>
          <rPr>
            <b/>
            <sz val="9"/>
            <color indexed="81"/>
            <rFont val="Tahoma"/>
            <family val="2"/>
          </rPr>
          <t>Nguyen Minh Khoi:</t>
        </r>
        <r>
          <rPr>
            <sz val="9"/>
            <color indexed="81"/>
            <rFont val="Tahoma"/>
            <family val="2"/>
          </rPr>
          <t xml:space="preserve">
Forecast of Worldbank in 2024 CMO reports</t>
        </r>
      </text>
    </comment>
    <comment ref="N69" authorId="1" shapeId="0" xr:uid="{C1D3E6FD-E041-4089-8391-84A14BA7C810}">
      <text>
        <r>
          <rPr>
            <b/>
            <sz val="9"/>
            <color indexed="81"/>
            <rFont val="Tahoma"/>
            <family val="2"/>
          </rPr>
          <t>Nguyen Minh Khoi:</t>
        </r>
        <r>
          <rPr>
            <sz val="9"/>
            <color indexed="81"/>
            <rFont val="Tahoma"/>
            <family val="2"/>
          </rPr>
          <t xml:space="preserve">
https://thedocs.worldbank.org/en/doc/c5de1ea3b3276cf54e7a1dff4e95362b-0350012021/related/CMO-April-2021-forecasts.pdf</t>
        </r>
      </text>
    </comment>
    <comment ref="N70" authorId="1" shapeId="0" xr:uid="{1A5B79F4-5175-460E-92C8-CAF61C912B29}">
      <text>
        <r>
          <rPr>
            <b/>
            <sz val="9"/>
            <color indexed="81"/>
            <rFont val="Tahoma"/>
            <family val="2"/>
          </rPr>
          <t>Nguyen Minh Khoi:</t>
        </r>
        <r>
          <rPr>
            <sz val="9"/>
            <color indexed="81"/>
            <rFont val="Tahoma"/>
            <family val="2"/>
          </rPr>
          <t xml:space="preserve">
CAGR giai đoạn 2025-2030 theo số liệu forecast từ WB</t>
        </r>
      </text>
    </comment>
    <comment ref="N76" authorId="1" shapeId="0" xr:uid="{1787A026-333B-40B5-BE33-F3DF6289210B}">
      <text>
        <r>
          <rPr>
            <sz val="11"/>
            <color theme="1"/>
            <rFont val="Calibri"/>
            <family val="2"/>
            <scheme val="minor"/>
          </rPr>
          <t xml:space="preserve">Nguyen Minh Khoi:
https://www.techopedia.com/investing/steal-price-forecast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Hoang Tran</author>
  </authors>
  <commentList>
    <comment ref="P4" authorId="0" shapeId="0" xr:uid="{0E6413B4-50BD-40DC-858F-CCF55059A2E5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Rf = lợi suất TPCP VN 10 năm (TB sơ cấp 4.11% &amp; thứ cấp 4.37%, tháng 3/2026). Source: thoibaotaichinhvietnam.vn, tradingview.com/VN10Y</t>
        </r>
      </text>
    </comment>
    <comment ref="I9" authorId="0" shapeId="0" xr:uid="{1143D919-8027-49FE-89D4-AE27EE6C0155}">
      <text>
        <r>
          <rPr>
            <b/>
            <sz val="9"/>
            <color indexed="81"/>
            <rFont val="Tahoma"/>
            <charset val="1"/>
          </rPr>
          <t>Beta YEG tính bằng SLOPE(Returns YEG, Returns VN-Index) trên dữ liệu giao dịch hằng ngày từ 5/5/2025 đến 24/4/2026 (Vietstock).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Hoang Tran</author>
  </authors>
  <commentList>
    <comment ref="H6" authorId="0" shapeId="0" xr:uid="{17CEC434-D76A-468A-8192-86BCB58A7A16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Cash as balancing plug</t>
        </r>
      </text>
    </comment>
    <comment ref="I6" authorId="0" shapeId="0" xr:uid="{E8D9FD66-B215-4811-A7F7-12A2528E866D}">
      <text>
        <r>
          <rPr>
            <b/>
            <sz val="9"/>
            <color indexed="81"/>
            <rFont val="Tahoma"/>
            <charset val="1"/>
          </rPr>
          <t>Cash: họ flat = 2025 (288B)</t>
        </r>
      </text>
    </comment>
    <comment ref="J6" authorId="0" shapeId="0" xr:uid="{AADCE4E6-4E0B-4400-8CB7-FBF99F125B32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Cash as balancing plug</t>
        </r>
      </text>
    </comment>
    <comment ref="K6" authorId="0" shapeId="0" xr:uid="{A2294C8B-217F-4674-8D9D-2CE6EFA17B9D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Cash as balancing plug</t>
        </r>
      </text>
    </comment>
    <comment ref="L6" authorId="0" shapeId="0" xr:uid="{A198A4AA-F8AB-4994-8924-467A6A5A5529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Cash as balancing plug</t>
        </r>
      </text>
    </comment>
    <comment ref="M6" authorId="0" shapeId="0" xr:uid="{955F7556-58F2-4EF7-A4F3-3801752867AA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Cash as balancing plug</t>
        </r>
      </text>
    </comment>
    <comment ref="N6" authorId="0" shapeId="0" xr:uid="{1330C6A8-4190-40EA-9CA7-9EBD6BC3BE69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Cash as balancing plug</t>
        </r>
      </text>
    </comment>
    <comment ref="I21" authorId="0" shapeId="0" xr:uid="{F5826961-C729-4DC1-B414-BE8BBA34128B}">
      <text>
        <r>
          <rPr>
            <b/>
            <sz val="9"/>
            <color indexed="81"/>
            <rFont val="Tahoma"/>
            <charset val="1"/>
          </rPr>
          <t>ST debt as revolver: MAX(2025 level, Total Assets - other L&amp;E). Auto-balancing plug.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Hoang Tran</author>
  </authors>
  <commentList>
    <comment ref="C2" authorId="0" shapeId="0" xr:uid="{7C304278-67D0-4680-99AF-46C7736B10F2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Chọn Bear / Base / Bull → toàn bộ inputs C7:C13 + FCFF adjustment tự cập nhật theo scenario table B76:E83.</t>
        </r>
      </text>
    </comment>
    <comment ref="C6" authorId="0" shapeId="0" xr:uid="{E4295779-33DB-4D2B-9DD2-EA07B4007907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Number of explicit forecast years (columns N:T = 7 years)</t>
        </r>
      </text>
    </comment>
    <comment ref="C7" authorId="0" shapeId="0" xr:uid="{ADE7AB40-852D-4006-A92E-9F1D55EBDA6A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Pull từ scenario table B81:E81 theo C2. Base = 4.2% (link to IPc_WACC P4); Bear = 4.5%; Bull = 4.0%.</t>
        </r>
      </text>
    </comment>
    <comment ref="C10" authorId="0" shapeId="0" xr:uid="{D5E84094-B02D-43FA-A88D-5B0EAEBA46C2}">
      <text>
        <r>
          <rPr>
            <b/>
            <sz val="9"/>
            <color indexed="81"/>
            <rFont val="Tahoma"/>
            <charset val="1"/>
          </rPr>
          <t>Pre-tax Kd, theo scenario.</t>
        </r>
      </text>
    </comment>
    <comment ref="C12" authorId="0" shapeId="0" xr:uid="{B4C4B922-10C5-4CAC-B300-B81CE10E3738}">
      <text>
        <r>
          <rPr>
            <b/>
            <sz val="9"/>
            <color indexed="81"/>
            <rFont val="Tahoma"/>
            <charset val="1"/>
          </rPr>
          <t>D/(D+E) theo scenario.</t>
        </r>
      </text>
    </comment>
    <comment ref="C13" authorId="0" shapeId="0" xr:uid="{E15FBD45-A350-4553-8EC1-642F4BC25816}">
      <text>
        <r>
          <rPr>
            <b/>
            <sz val="9"/>
            <color indexed="81"/>
            <rFont val="Tahoma"/>
            <charset val="1"/>
          </rPr>
          <t>Terminal growth theo scenario.</t>
        </r>
      </text>
    </comment>
    <comment ref="C21" authorId="0" shapeId="0" xr:uid="{35FBD2DD-23B9-40EB-9361-B7A0B96A77B8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Fraction of year remaining from valuation date to forecast year-end 1.</t>
        </r>
      </text>
    </comment>
    <comment ref="C37" authorId="0" shapeId="0" xr:uid="{04986B77-C75E-454A-84BE-498BA143D32F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PV explicit FCFF (T34 row), nhân với (1 + FCFF adj theo scenario tại row 80)</t>
        </r>
      </text>
    </comment>
    <comment ref="C38" authorId="0" shapeId="0" xr:uid="{8C1BB26C-9F5F-4DDE-B5CA-918040F11640}">
      <text>
        <r>
          <rPr>
            <b/>
            <sz val="9"/>
            <color indexed="81"/>
            <rFont val="Tahoma"/>
            <charset val="1"/>
          </rPr>
          <t>Gordon growth: FCFF_last_adjusted*(1+g)/(WACC-g)</t>
        </r>
      </text>
    </comment>
    <comment ref="B80" authorId="0" shapeId="0" xr:uid="{C51D5683-2CBA-403B-9D42-74BE3AE9361D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Bear: cắt FCFF 15%. Base: 0%. Bull: cộng 10%.</t>
        </r>
      </text>
    </comment>
    <comment ref="D80" authorId="0" shapeId="0" xr:uid="{9BA69E93-D1AA-4FA6-BC9E-DA6700CB9753}">
      <text>
        <r>
          <rPr>
            <b/>
            <sz val="9"/>
            <color indexed="81"/>
            <rFont val="Tahoma"/>
            <charset val="1"/>
          </rPr>
          <t>Hoang Tran:</t>
        </r>
        <r>
          <rPr>
            <sz val="9"/>
            <color indexed="81"/>
            <rFont val="Tahoma"/>
            <charset val="1"/>
          </rPr>
          <t xml:space="preserve">
FCFF adj = 0% — đã haircut profit drivers ở root (PD_Operation), không cần haircut kép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<sst xmlns="http://schemas.openxmlformats.org/spreadsheetml/2006/main" count="2112" uniqueCount="1283">
  <si>
    <t>Balance Sheet</t>
  </si>
  <si>
    <t>Yearly</t>
  </si>
  <si>
    <t>Trạng thái kiểm toán</t>
  </si>
  <si>
    <t>Audit Status</t>
  </si>
  <si>
    <t>Công ty Kiểm toán</t>
  </si>
  <si>
    <t>Audit Firm</t>
  </si>
  <si>
    <t>Loại Ý kiến Kiểm toán</t>
  </si>
  <si>
    <t>Audit Opinion Type</t>
  </si>
  <si>
    <t>TÀI SẢN NGẮN HẠN</t>
  </si>
  <si>
    <t>CURRENT ASSETS</t>
  </si>
  <si>
    <t>Tiền và tương đương tiền</t>
  </si>
  <si>
    <t>Cash and cash equivalents</t>
  </si>
  <si>
    <t xml:space="preserve">     Tiền</t>
  </si>
  <si>
    <t xml:space="preserve">     Cash</t>
  </si>
  <si>
    <t xml:space="preserve">     Các khoản tương đương tiền</t>
  </si>
  <si>
    <t xml:space="preserve">     Cash equivalents</t>
  </si>
  <si>
    <t>Giá trị thuần đầu tư ngắn hạn</t>
  </si>
  <si>
    <t>Short-term investments</t>
  </si>
  <si>
    <t xml:space="preserve">     Đầu tư ngắn hạn</t>
  </si>
  <si>
    <t xml:space="preserve">     Short-term investments</t>
  </si>
  <si>
    <t xml:space="preserve">     Dự phòng đầu tư ngắn hạn</t>
  </si>
  <si>
    <t xml:space="preserve">     Provision for diminution</t>
  </si>
  <si>
    <t xml:space="preserve">     Đầu tư nắm giữ đến ngày đáo hạn</t>
  </si>
  <si>
    <t xml:space="preserve">     Held-to-maturity investment</t>
  </si>
  <si>
    <t>Các khoản phải thu</t>
  </si>
  <si>
    <t>Accounts receivable</t>
  </si>
  <si>
    <t xml:space="preserve">     Phải thu khách hàng</t>
  </si>
  <si>
    <t xml:space="preserve">     Trade accounts receivable</t>
  </si>
  <si>
    <t xml:space="preserve">     Trả trước người bán</t>
  </si>
  <si>
    <t xml:space="preserve">     Prepayments to suppliers</t>
  </si>
  <si>
    <t xml:space="preserve">     Phải thu nội bộ</t>
  </si>
  <si>
    <t xml:space="preserve">     Intercompany receivables</t>
  </si>
  <si>
    <t xml:space="preserve">     Phải thu về XDCB</t>
  </si>
  <si>
    <t xml:space="preserve">     Construction contract in progress receivables</t>
  </si>
  <si>
    <t xml:space="preserve">     Phải thu về cho vay ngắn hạn</t>
  </si>
  <si>
    <t xml:space="preserve">     Short-term loans receivables</t>
  </si>
  <si>
    <t xml:space="preserve">     Phải thu khác</t>
  </si>
  <si>
    <t xml:space="preserve">     Other receivables</t>
  </si>
  <si>
    <t xml:space="preserve">     Dự phòng nợ khó đòi</t>
  </si>
  <si>
    <t xml:space="preserve">     Provision for doubtful debts</t>
  </si>
  <si>
    <t xml:space="preserve">     Tài sản thiếu chờ xử lý</t>
  </si>
  <si>
    <t xml:space="preserve">     Shortage of current assets waiting for solution</t>
  </si>
  <si>
    <t>Hàng tồn kho, ròng</t>
  </si>
  <si>
    <t>Inventories, Net</t>
  </si>
  <si>
    <t xml:space="preserve">     Hàng tồn kho</t>
  </si>
  <si>
    <t xml:space="preserve">     Inventories</t>
  </si>
  <si>
    <t xml:space="preserve">     Dự phòng giảm giá HTK</t>
  </si>
  <si>
    <t xml:space="preserve">     Provision for decline in inventories</t>
  </si>
  <si>
    <t>Tài sản lưu động khác</t>
  </si>
  <si>
    <t>Other current assets</t>
  </si>
  <si>
    <t xml:space="preserve">     Chi phí trả trước ngắn hạn</t>
  </si>
  <si>
    <t xml:space="preserve">     Short-term prepayments</t>
  </si>
  <si>
    <t xml:space="preserve">     Thuế GTGT được khấu trừ</t>
  </si>
  <si>
    <t xml:space="preserve">     VAT to be claimed</t>
  </si>
  <si>
    <t xml:space="preserve">     Phải thu thuế khác</t>
  </si>
  <si>
    <t xml:space="preserve">     Other taxes receivable</t>
  </si>
  <si>
    <t xml:space="preserve">     Giao dịch mua bán lại trái phiếu chính phủ</t>
  </si>
  <si>
    <t xml:space="preserve">     Government bonds purchased for resale</t>
  </si>
  <si>
    <t xml:space="preserve">     Tài sản lưu động khác</t>
  </si>
  <si>
    <t xml:space="preserve">     Other current assets</t>
  </si>
  <si>
    <t>TÀI SẢN DÀI HẠN</t>
  </si>
  <si>
    <t>LONG-TERM ASSETS</t>
  </si>
  <si>
    <t>Phải thu dài hạn</t>
  </si>
  <si>
    <t>Long-term trade receivables</t>
  </si>
  <si>
    <t xml:space="preserve">     Phải thu khách hàng dài hạn</t>
  </si>
  <si>
    <t xml:space="preserve">     Long-term trade receivables from customers</t>
  </si>
  <si>
    <t xml:space="preserve">     Trả trước người bán dài hạn</t>
  </si>
  <si>
    <t xml:space="preserve">     Long-term prepayments to suppliers</t>
  </si>
  <si>
    <t xml:space="preserve">     Vốn kinh doanh ở các đơn vị trực thuộc</t>
  </si>
  <si>
    <t xml:space="preserve">     Paid-in capital in wholly-owned subsidiaries</t>
  </si>
  <si>
    <t xml:space="preserve">     Phải thu nội bộ dài hạn</t>
  </si>
  <si>
    <t xml:space="preserve">     Long-term intercompany receivables</t>
  </si>
  <si>
    <t xml:space="preserve">     Phải thu về cho vay dài hạn</t>
  </si>
  <si>
    <t xml:space="preserve">     Long-term loans receivables</t>
  </si>
  <si>
    <t xml:space="preserve">     Phải thu dài hạn khác</t>
  </si>
  <si>
    <t xml:space="preserve">     Other long-term receivables</t>
  </si>
  <si>
    <t xml:space="preserve">     Dự phòng phải thu dài hạn</t>
  </si>
  <si>
    <t xml:space="preserve">     Provision for doubtful LT receivable</t>
  </si>
  <si>
    <t>Tài sản cố định</t>
  </si>
  <si>
    <t>Fixed assets</t>
  </si>
  <si>
    <t xml:space="preserve">     GTCL TSCĐ hữu hình</t>
  </si>
  <si>
    <t xml:space="preserve">     Tangible fixed assets</t>
  </si>
  <si>
    <t xml:space="preserve">          Nguyên giá TSCĐ hữu hình</t>
  </si>
  <si>
    <t xml:space="preserve">          Cost</t>
  </si>
  <si>
    <t xml:space="preserve">          Khấu hao lũy kế TSCĐ hữu hình</t>
  </si>
  <si>
    <t xml:space="preserve">          Accumulated depreciation</t>
  </si>
  <si>
    <t xml:space="preserve">     GTCL Tài sản thuê tài chính</t>
  </si>
  <si>
    <t xml:space="preserve">     Finance lease assets</t>
  </si>
  <si>
    <t xml:space="preserve">          Nguyên giá tài sản thuê tài chính</t>
  </si>
  <si>
    <t xml:space="preserve">          Khấu hao lũy kế tài sản thuê tài chính</t>
  </si>
  <si>
    <t xml:space="preserve">     GTCL tài sản cố định vô hình</t>
  </si>
  <si>
    <t xml:space="preserve">     Intangible fixed assets</t>
  </si>
  <si>
    <t xml:space="preserve">          Nguyên giá TSCĐ vô hình</t>
  </si>
  <si>
    <t xml:space="preserve">          Khấu khao lũy kế TSCĐ vô hình</t>
  </si>
  <si>
    <t xml:space="preserve">     Xây dựng cơ bản dở dang (trước 2015)</t>
  </si>
  <si>
    <t xml:space="preserve">     Construction in progress (before 2015)</t>
  </si>
  <si>
    <t>Giá trị ròng tài sản đầu tư</t>
  </si>
  <si>
    <t>Investment properties</t>
  </si>
  <si>
    <t xml:space="preserve">     Nguyên giá tài sản đầu tư</t>
  </si>
  <si>
    <t xml:space="preserve">     Cost</t>
  </si>
  <si>
    <t xml:space="preserve">     Khấu hao lũy kế tài sản đầu tư</t>
  </si>
  <si>
    <t xml:space="preserve">     Accumulated depreciation</t>
  </si>
  <si>
    <t>Tài sản dở dang dài hạn</t>
  </si>
  <si>
    <t>Long-term incomplete assets</t>
  </si>
  <si>
    <t xml:space="preserve">     Chi phí sản xuất, kinh doanh dở dang dài hạn</t>
  </si>
  <si>
    <t xml:space="preserve">     Long-term cost of work in progress</t>
  </si>
  <si>
    <t xml:space="preserve">     Xây dựng cơ bản dở dang</t>
  </si>
  <si>
    <t xml:space="preserve">     Construction in progress</t>
  </si>
  <si>
    <t>Đầu tư dài hạn</t>
  </si>
  <si>
    <t>Long-term investments</t>
  </si>
  <si>
    <t xml:space="preserve">     Đầu tư vào các công ty con</t>
  </si>
  <si>
    <t xml:space="preserve">     Investments in subsidiaries</t>
  </si>
  <si>
    <t xml:space="preserve">     Đầu tư vào các công ty liên kết</t>
  </si>
  <si>
    <t xml:space="preserve">     Investments in associates</t>
  </si>
  <si>
    <t xml:space="preserve">     Đầu tư dài hạn khác</t>
  </si>
  <si>
    <t xml:space="preserve">     Other long-term investments</t>
  </si>
  <si>
    <t xml:space="preserve">     Dự phòng giảm giá đầu tư dài hạn</t>
  </si>
  <si>
    <t xml:space="preserve">     Provision for long-term investments</t>
  </si>
  <si>
    <t>Lợi thế thương mại (trước 2015)</t>
  </si>
  <si>
    <t>Good will (before 2015)</t>
  </si>
  <si>
    <t>Tài sản dài hạn khác</t>
  </si>
  <si>
    <t>Other long-term assets</t>
  </si>
  <si>
    <t xml:space="preserve">     Trả trước dài hạn</t>
  </si>
  <si>
    <t xml:space="preserve">     Long-term prepayments</t>
  </si>
  <si>
    <t xml:space="preserve">     Thuế thu nhập hoãn lại phải thu</t>
  </si>
  <si>
    <t xml:space="preserve">     Deferred income tax assets</t>
  </si>
  <si>
    <t xml:space="preserve">     Thiết bị, vật tư, phụ tùng thay thế dài hạn</t>
  </si>
  <si>
    <t xml:space="preserve">     Long-term equipment, material and spare parts</t>
  </si>
  <si>
    <t xml:space="preserve">     Các tài sản dài hạn khác</t>
  </si>
  <si>
    <t xml:space="preserve">     Other long-term assets</t>
  </si>
  <si>
    <t xml:space="preserve">     Lợi thế thương mại</t>
  </si>
  <si>
    <t xml:space="preserve">     Good will</t>
  </si>
  <si>
    <t>TỔNG CỘNG TÀI SẢN</t>
  </si>
  <si>
    <t>TOTAL ASSETS</t>
  </si>
  <si>
    <t>NỢ PHẢI TRẢ</t>
  </si>
  <si>
    <t>LIABILITIES</t>
  </si>
  <si>
    <t>Nợ ngắn hạn</t>
  </si>
  <si>
    <t>Current liabilities</t>
  </si>
  <si>
    <t xml:space="preserve">     Phải trả người bán</t>
  </si>
  <si>
    <t xml:space="preserve">     Trade accounts payable</t>
  </si>
  <si>
    <t xml:space="preserve">     Người mua trả tiền trước</t>
  </si>
  <si>
    <t xml:space="preserve">     Advances from customers</t>
  </si>
  <si>
    <t xml:space="preserve">     Thuế và các khoản phải trả Nhà nước</t>
  </si>
  <si>
    <t xml:space="preserve">     Taxes and other payable to State Budget</t>
  </si>
  <si>
    <t xml:space="preserve">     Phải trả người lao động</t>
  </si>
  <si>
    <t xml:space="preserve">     Payable to employees</t>
  </si>
  <si>
    <t xml:space="preserve">     Chi phí phải trả</t>
  </si>
  <si>
    <t xml:space="preserve">     Accrued expenses</t>
  </si>
  <si>
    <t xml:space="preserve">     Phải trả nội bộ</t>
  </si>
  <si>
    <t xml:space="preserve">     Intercompany payables</t>
  </si>
  <si>
    <t xml:space="preserve">     Phải trả về xây dựng cơ bản</t>
  </si>
  <si>
    <t xml:space="preserve">     Construction contract in progress payables</t>
  </si>
  <si>
    <t xml:space="preserve">     Doanh thu chưa thực hiện ngắn hạn</t>
  </si>
  <si>
    <t xml:space="preserve">     Short-term unrealized revenue</t>
  </si>
  <si>
    <t xml:space="preserve">     Phải trả khác</t>
  </si>
  <si>
    <t xml:space="preserve">     Other payables</t>
  </si>
  <si>
    <t xml:space="preserve">     Vay ngắn hạn</t>
  </si>
  <si>
    <t xml:space="preserve">     Short-term borrowings</t>
  </si>
  <si>
    <t xml:space="preserve">     Dự phòng các khoản phải trả ngắn hạn</t>
  </si>
  <si>
    <t xml:space="preserve">     Provision for ST liabilities</t>
  </si>
  <si>
    <t xml:space="preserve">     Quỹ khen thưởng, phúc lợi</t>
  </si>
  <si>
    <t xml:space="preserve">     Bonus and welfare funds</t>
  </si>
  <si>
    <t xml:space="preserve">     Quỹ bình ổn giá</t>
  </si>
  <si>
    <t xml:space="preserve">     Price stabilization fund</t>
  </si>
  <si>
    <t>Nợ dài hạn</t>
  </si>
  <si>
    <t>Long-term liabilities</t>
  </si>
  <si>
    <t xml:space="preserve">     Phải trả nhà cung cấp dài hạn</t>
  </si>
  <si>
    <t xml:space="preserve">     Long-term trade payables</t>
  </si>
  <si>
    <t xml:space="preserve">     Người mua trả tiền trước dài hạn</t>
  </si>
  <si>
    <t xml:space="preserve">     Long-term advances from customers</t>
  </si>
  <si>
    <t xml:space="preserve">     Chi phí phải trả dài hạn</t>
  </si>
  <si>
    <t xml:space="preserve">     Long-term accrued expenses</t>
  </si>
  <si>
    <t xml:space="preserve">     Phải trả nội bộ về vốn kinh doanh</t>
  </si>
  <si>
    <t xml:space="preserve">     Intra-company payables for operating capital received</t>
  </si>
  <si>
    <t xml:space="preserve">     Phải trả nội bộ dài hạn</t>
  </si>
  <si>
    <t xml:space="preserve">     Long-term intercompany payables</t>
  </si>
  <si>
    <t xml:space="preserve">     Doanh thu chưa thực hiên</t>
  </si>
  <si>
    <t xml:space="preserve">     Deferred revenue</t>
  </si>
  <si>
    <t xml:space="preserve">     Phải trả dài hạn khác</t>
  </si>
  <si>
    <t xml:space="preserve">     Other long-term payables</t>
  </si>
  <si>
    <t xml:space="preserve">     Vay dài hạn</t>
  </si>
  <si>
    <t xml:space="preserve">     Long-term borrowings</t>
  </si>
  <si>
    <t xml:space="preserve">     Trái phiếu chuyển đổi</t>
  </si>
  <si>
    <t xml:space="preserve">     Convertible bonds</t>
  </si>
  <si>
    <t xml:space="preserve">     Cổ phiếu ưu đãi</t>
  </si>
  <si>
    <t xml:space="preserve">     Preferred shares</t>
  </si>
  <si>
    <t xml:space="preserve">     Thuế thu nhập hoãn lại phải trả</t>
  </si>
  <si>
    <t xml:space="preserve">     Deferred income tax liabilities</t>
  </si>
  <si>
    <t xml:space="preserve">     Dự phòng trợ cấp thôi việc</t>
  </si>
  <si>
    <t xml:space="preserve">     Provision for severance allowances</t>
  </si>
  <si>
    <t xml:space="preserve">     Dự phòng các khoản công nợ dài hạn</t>
  </si>
  <si>
    <t xml:space="preserve">     Provision for long-term liabilities</t>
  </si>
  <si>
    <t xml:space="preserve">     Quỹ phát triển khoa học công nghệ</t>
  </si>
  <si>
    <t xml:space="preserve">     Technology-science development fund</t>
  </si>
  <si>
    <t>VỐN CHỦ SỞ HỮU</t>
  </si>
  <si>
    <t>OWNER'S EQUITY</t>
  </si>
  <si>
    <t>Vốn và các quỹ</t>
  </si>
  <si>
    <t>Capital and reserves</t>
  </si>
  <si>
    <t xml:space="preserve">     Vốn góp</t>
  </si>
  <si>
    <t xml:space="preserve">     Paid-in capital</t>
  </si>
  <si>
    <t xml:space="preserve">          Cổ phiếu phổ thông</t>
  </si>
  <si>
    <t xml:space="preserve">          Common shares</t>
  </si>
  <si>
    <t xml:space="preserve">          Cổ phiếu ưu đãi</t>
  </si>
  <si>
    <t xml:space="preserve">          Preferred shares</t>
  </si>
  <si>
    <t xml:space="preserve">     Thặng dư vốn cổ phần</t>
  </si>
  <si>
    <t xml:space="preserve">     Share premium</t>
  </si>
  <si>
    <t xml:space="preserve">     Quyền chọn chuyển đổi trái phiếu</t>
  </si>
  <si>
    <t xml:space="preserve">     Conversion options on convertible bonds</t>
  </si>
  <si>
    <t xml:space="preserve">     Vốn khác</t>
  </si>
  <si>
    <t xml:space="preserve">     Owner's other capital</t>
  </si>
  <si>
    <t xml:space="preserve">     Cổ phiếu quỹ</t>
  </si>
  <si>
    <t xml:space="preserve">     Treasury shares</t>
  </si>
  <si>
    <t xml:space="preserve">     Chênh lệch đánh giá lại tài sản</t>
  </si>
  <si>
    <t xml:space="preserve">     Differences upon asset revaluation</t>
  </si>
  <si>
    <t xml:space="preserve">     Chênh lệch tỷ giá</t>
  </si>
  <si>
    <t xml:space="preserve">     Foreign exchange differences</t>
  </si>
  <si>
    <t xml:space="preserve">     Quỹ đầu tư và phát triển</t>
  </si>
  <si>
    <t xml:space="preserve">     Investment and development funds</t>
  </si>
  <si>
    <t xml:space="preserve">     Quỹ hỗ trợ sắp xếp doanh nghiệp</t>
  </si>
  <si>
    <t xml:space="preserve">     Enterprise arrangement fund</t>
  </si>
  <si>
    <t xml:space="preserve">     Quỹ dự phòng tài chính</t>
  </si>
  <si>
    <t xml:space="preserve">     Financial reserve funds</t>
  </si>
  <si>
    <t xml:space="preserve">     Quỹ khác</t>
  </si>
  <si>
    <t xml:space="preserve">     Other funds</t>
  </si>
  <si>
    <t xml:space="preserve">     Lãi chưa phân phối</t>
  </si>
  <si>
    <t xml:space="preserve">     Undistributed earnings</t>
  </si>
  <si>
    <t xml:space="preserve">          LNST chưa phân phối lũy kế đến cuối kỳ trước</t>
  </si>
  <si>
    <t xml:space="preserve">          Beginning accumulated undistributed earnings</t>
  </si>
  <si>
    <t xml:space="preserve">          LNST chưa phân phối kỳ này</t>
  </si>
  <si>
    <t xml:space="preserve">          Current period undistributed earnings</t>
  </si>
  <si>
    <t xml:space="preserve">     Lợi ích cổ đông không kiểm soát</t>
  </si>
  <si>
    <t xml:space="preserve">     Minority interests</t>
  </si>
  <si>
    <t>Vốn Ngân sách nhà nước và quỹ khác</t>
  </si>
  <si>
    <t>Budget sources and other funds</t>
  </si>
  <si>
    <t xml:space="preserve">     Quỹ khen thưởng, phúc lợi (trước 2010)</t>
  </si>
  <si>
    <t xml:space="preserve">     Bonus and welfare funds (Before 2010)</t>
  </si>
  <si>
    <t xml:space="preserve">     Vốn ngân sách nhà nước</t>
  </si>
  <si>
    <t xml:space="preserve">     Budget sources and other funds</t>
  </si>
  <si>
    <t xml:space="preserve">     Nguồn kinh phí đã hình thành TSCĐ</t>
  </si>
  <si>
    <t xml:space="preserve">     Funds used for fixed asset acquisitions</t>
  </si>
  <si>
    <t>LỢI ÍCH CỦA CỔ ĐÔNG THIỂU SỐ</t>
  </si>
  <si>
    <t>MINORITY INTERESTS (BEFORE 2015)</t>
  </si>
  <si>
    <t>TỔNG CỘNG NGUỒN VỐN</t>
  </si>
  <si>
    <t>TOTAL RESOURCES</t>
  </si>
  <si>
    <t>Backing test</t>
  </si>
  <si>
    <t>Tổng tài sản &amp; nguồn vốn</t>
  </si>
  <si>
    <t>Total Asset or Resources</t>
  </si>
  <si>
    <t>Tài sản ngắn hạn</t>
  </si>
  <si>
    <t>Current asset</t>
  </si>
  <si>
    <t>Tài sản dài hạn</t>
  </si>
  <si>
    <t>Non-Current asset</t>
  </si>
  <si>
    <t>Total asset</t>
  </si>
  <si>
    <t>Nguồn vốn ngắn hạn</t>
  </si>
  <si>
    <t>Nguồn vốn dài hạn</t>
  </si>
  <si>
    <t>Non-Current liabilities</t>
  </si>
  <si>
    <t>Tổng nguồn vốn</t>
  </si>
  <si>
    <t>Total Liabilities</t>
  </si>
  <si>
    <t>Q1/2023</t>
  </si>
  <si>
    <t>Q2/2023</t>
  </si>
  <si>
    <t>Q3/2023</t>
  </si>
  <si>
    <t>Q4/2023</t>
  </si>
  <si>
    <t>Q1/2024</t>
  </si>
  <si>
    <t>Q2/2024</t>
  </si>
  <si>
    <t>Income Statement</t>
  </si>
  <si>
    <t>Doanh thu bán hàng và cung cấp dịch vụ</t>
  </si>
  <si>
    <t>Sales</t>
  </si>
  <si>
    <t>Các khoản giảm trừ doanh thu</t>
  </si>
  <si>
    <t>Sales deductions</t>
  </si>
  <si>
    <t>Doanh thu thuần</t>
  </si>
  <si>
    <t>Net sales</t>
  </si>
  <si>
    <t>Giá vốn hàng bán</t>
  </si>
  <si>
    <t>Cost of sales</t>
  </si>
  <si>
    <t>Lợi nhuận gộp về bán hàng và cung cấp dịch vụ</t>
  </si>
  <si>
    <t>Gross Profit</t>
  </si>
  <si>
    <t>Doanh thu hoạt động tài chính</t>
  </si>
  <si>
    <t>Financial income</t>
  </si>
  <si>
    <t>Chi phí tài chính</t>
  </si>
  <si>
    <t>Financial expenses</t>
  </si>
  <si>
    <t xml:space="preserve">     Trong đó: Chi phí lãi vay</t>
  </si>
  <si>
    <t xml:space="preserve">     In which: interest expenses</t>
  </si>
  <si>
    <t>Gain/(loss) from joint ventures (from 2015)</t>
  </si>
  <si>
    <t>Chi phí bán hàng</t>
  </si>
  <si>
    <t>Selling expenses</t>
  </si>
  <si>
    <t>Chi phí quản lý doanh  nghiệp</t>
  </si>
  <si>
    <t>General and admin expenses</t>
  </si>
  <si>
    <t>Lãi/(lỗ) từ hoạt động kinh doanh</t>
  </si>
  <si>
    <t>Operating profit/(loss)</t>
  </si>
  <si>
    <t>Thu nhập khác, ròng</t>
  </si>
  <si>
    <t>Net other income/(expenses)</t>
  </si>
  <si>
    <t xml:space="preserve">     Thu nhập khác</t>
  </si>
  <si>
    <t xml:space="preserve">     Other incomes</t>
  </si>
  <si>
    <t xml:space="preserve">     Chi phí khác</t>
  </si>
  <si>
    <t xml:space="preserve">     Other expenses</t>
  </si>
  <si>
    <t>Lãi/(lỗ) từ công ty liên doanh</t>
  </si>
  <si>
    <t>Income from investments in other entities</t>
  </si>
  <si>
    <t>Lãi/(lỗ) ròng trước thuế</t>
  </si>
  <si>
    <t>Net accounting profit/(loss) before tax</t>
  </si>
  <si>
    <t>Chi phí thuế thu nhập doanh nghiệp</t>
  </si>
  <si>
    <t>Corporate income tax expenses</t>
  </si>
  <si>
    <t xml:space="preserve">     Thuế thu nhập doanh nghiệp – hiện thời</t>
  </si>
  <si>
    <t xml:space="preserve">     Business income tax - current</t>
  </si>
  <si>
    <t xml:space="preserve">     Thuế thu nhập doanh nghiệp – hoãn lại</t>
  </si>
  <si>
    <t xml:space="preserve">     Business income tax - deferred</t>
  </si>
  <si>
    <t>Lãi/(lỗ) thuần sau thuế</t>
  </si>
  <si>
    <t>Net profit/(loss) after tax</t>
  </si>
  <si>
    <t>Lợi ích của cổ đông thiểu số</t>
  </si>
  <si>
    <t>Minority interests</t>
  </si>
  <si>
    <t>Lợi nhuận của Cổ đông của Công ty mẹ</t>
  </si>
  <si>
    <t>Attributable to parent company</t>
  </si>
  <si>
    <t>Lãi cơ bản trên cổ phiếu (VND)</t>
  </si>
  <si>
    <t>EPS basic (VND)</t>
  </si>
  <si>
    <t>Lãi trên cổ phiếu pha loãng (VND)</t>
  </si>
  <si>
    <t>EPS diluted (VND)</t>
  </si>
  <si>
    <t>Lợi nhuận ròng</t>
  </si>
  <si>
    <t>Gross profit</t>
  </si>
  <si>
    <t>Lợi nhuận khác</t>
  </si>
  <si>
    <t>Other gain</t>
  </si>
  <si>
    <t>Lợi nhuận trước thuế</t>
  </si>
  <si>
    <t>Earning before tax</t>
  </si>
  <si>
    <t>Chi phí thuế TNDN</t>
  </si>
  <si>
    <t>Tax expenses</t>
  </si>
  <si>
    <t>Lợi nhuận sau thuế</t>
  </si>
  <si>
    <t>Eearning after tax</t>
  </si>
  <si>
    <t>Cashflow statement</t>
  </si>
  <si>
    <t>Lợi nhuận/(lỗ) trước thuế</t>
  </si>
  <si>
    <t>Net profit/(loss) before tax</t>
  </si>
  <si>
    <t>Chi phí dự phòng</t>
  </si>
  <si>
    <t>Provisions</t>
  </si>
  <si>
    <t>Lãi/lỗ chênh lệch tỷ giá hối đoái do đánh giá lại các khoản mục tiền tệ có gốc ngoại tệ</t>
  </si>
  <si>
    <t>Unrealized foreign exchange gain/(loss)</t>
  </si>
  <si>
    <t>Lãi/(lỗ) từ thanh lý tài sản cố định</t>
  </si>
  <si>
    <t>Profit/loss from liquidating fixed assets</t>
  </si>
  <si>
    <t>(Lãi)/lỗ từ hoạt động đầu tư</t>
  </si>
  <si>
    <t>Profit/loss from investing activities</t>
  </si>
  <si>
    <t>Chi phí lãi vay</t>
  </si>
  <si>
    <t>Interest expense</t>
  </si>
  <si>
    <t>Thu lãi và cổ tức</t>
  </si>
  <si>
    <t>Interest income and dividend</t>
  </si>
  <si>
    <t>Các khoản điều chỉnh khác</t>
  </si>
  <si>
    <t>Other adjustments</t>
  </si>
  <si>
    <t>Lợi nhuận/(lỗ) từ hoạt động kinh doanh trước những thay đổi vốn lưu động</t>
  </si>
  <si>
    <t>Operating profit/(loss) before changes in Working Capital</t>
  </si>
  <si>
    <t xml:space="preserve">     (Tăng)/giảm các khoản phải thu</t>
  </si>
  <si>
    <t xml:space="preserve">     (Increase)/decrease in receivables</t>
  </si>
  <si>
    <t xml:space="preserve">     (Tăng)/giảm hàng tồn kho</t>
  </si>
  <si>
    <t xml:space="preserve">     (Increase)/decrease in inventories</t>
  </si>
  <si>
    <t xml:space="preserve">     Tăng/(giảm) các khoản phải trả</t>
  </si>
  <si>
    <t xml:space="preserve">     Increase/(decrease) in payables</t>
  </si>
  <si>
    <t xml:space="preserve">     (Tăng)/giảm chi phí trả trước</t>
  </si>
  <si>
    <t xml:space="preserve">     (Increase)/decrease in prepaid expenses</t>
  </si>
  <si>
    <t xml:space="preserve">     (Tăng)/giảm chứng khoán kinh doanh</t>
  </si>
  <si>
    <t xml:space="preserve">     (Increase)/decrease  in trading securities</t>
  </si>
  <si>
    <t xml:space="preserve">     Tiền lãi vay đã trả</t>
  </si>
  <si>
    <t xml:space="preserve">     Interest paid</t>
  </si>
  <si>
    <t xml:space="preserve">     Thuế thu nhập doanh nghiệp đã nộp</t>
  </si>
  <si>
    <t xml:space="preserve">     Corporate Income Tax paid</t>
  </si>
  <si>
    <t xml:space="preserve">     Tiền thu khác từ hoạt động kinh doanh</t>
  </si>
  <si>
    <t xml:space="preserve">     Other receipts from operating activities</t>
  </si>
  <si>
    <t xml:space="preserve">     Tiền chi khác cho hoạt động kinh doanh</t>
  </si>
  <si>
    <t xml:space="preserve">     Other payments on operating activities</t>
  </si>
  <si>
    <t>Lưu chuyển tiền tệ ròng từ các hoạt động sản xuất kinh doanh</t>
  </si>
  <si>
    <t>Net cash inflows/(outflows) from operating activities</t>
  </si>
  <si>
    <t>Lưu chuyển tiền thuần từ hoạt động đầu tư</t>
  </si>
  <si>
    <t>Net cash inflows/(outflows) from investing activities</t>
  </si>
  <si>
    <t xml:space="preserve">     Tiền chi để mua sắm, xây dựng TSCĐ và các tài sản dài hạn khác</t>
  </si>
  <si>
    <t xml:space="preserve">     Purchases of fixed assets and other long term assets</t>
  </si>
  <si>
    <t xml:space="preserve">     Tiền thu từ thanh lý, nhượng bán TSCĐ và các tài sản dài hạn khác</t>
  </si>
  <si>
    <t xml:space="preserve">     Proceeds from disposal of fixed assets</t>
  </si>
  <si>
    <t xml:space="preserve">     Tiền chi cho vay, mua các công cụ nợ của đơn vị khác</t>
  </si>
  <si>
    <t xml:space="preserve">     Loans granted, purchases of debt instruments</t>
  </si>
  <si>
    <t xml:space="preserve">     Tiền thu hồi cho vay, bán lại các công cụ nợ của đơn vị khác</t>
  </si>
  <si>
    <t xml:space="preserve">     Collection of loans, proceeds from sales of debts instruments</t>
  </si>
  <si>
    <t xml:space="preserve">     Tiền chi đầu tư góp vốn vào đơn vị khác</t>
  </si>
  <si>
    <t xml:space="preserve">     Investments in other entities</t>
  </si>
  <si>
    <t xml:space="preserve">     Tiền thu hồi đầu tư góp vốn vào đơn vị khác</t>
  </si>
  <si>
    <t xml:space="preserve">     Proceeds from divestment in other entities</t>
  </si>
  <si>
    <t xml:space="preserve">     Tiền thu lãi cho vay, cổ tức và lợi nhuận được chia</t>
  </si>
  <si>
    <t xml:space="preserve">     Dividends and interest received</t>
  </si>
  <si>
    <t>Lưu chuyển tiền thuần từ hoạt động tài chính</t>
  </si>
  <si>
    <t>Net cash inflows/(outflows) from financing activities</t>
  </si>
  <si>
    <t xml:space="preserve">     Tiền thu từ phát hành cổ phiếu, nhận vốn góp của chủ sở hữu</t>
  </si>
  <si>
    <t xml:space="preserve">     Proceeds from issue of shares</t>
  </si>
  <si>
    <t xml:space="preserve">     Tiền chi trả vốn góp cho các chủ sở hữu, mua lại cổ phiếu của doanh nghiệp đã phát hành</t>
  </si>
  <si>
    <t xml:space="preserve">     Payments for share returns and repurchases</t>
  </si>
  <si>
    <t xml:space="preserve">     Tiền thu được các khoản đi vay</t>
  </si>
  <si>
    <t xml:space="preserve">     Proceeds from loans</t>
  </si>
  <si>
    <t xml:space="preserve">     Tiền trả nợ gốc vay</t>
  </si>
  <si>
    <t xml:space="preserve">     Repayment of loans</t>
  </si>
  <si>
    <t xml:space="preserve">     Tiền trả nợ gốc thuê tài chính</t>
  </si>
  <si>
    <t xml:space="preserve">     Finance lease principal payments</t>
  </si>
  <si>
    <t xml:space="preserve">     Cổ tức, lợi nhuận đã trả cho chủ sở hữu</t>
  </si>
  <si>
    <t xml:space="preserve">     Dividends paid</t>
  </si>
  <si>
    <t xml:space="preserve">     Tiền lãi đã nhận</t>
  </si>
  <si>
    <t xml:space="preserve">     Interests, dividends, profits received</t>
  </si>
  <si>
    <t>Lưu chuyển tiền thuần trong kỳ</t>
  </si>
  <si>
    <t>Net increase in cash and cash equivalents</t>
  </si>
  <si>
    <t>Tiền và tương đương tiền đầu kỳ</t>
  </si>
  <si>
    <t>Cash and cash equivalents at the beginning o period</t>
  </si>
  <si>
    <t>Ảnh hưởng của thay đổi tỷ giá hối đoái quy đổi ngoại tệ</t>
  </si>
  <si>
    <t>Effect of foreign exchange differences</t>
  </si>
  <si>
    <t>Tiền và tương đương tiền cuối kỳ</t>
  </si>
  <si>
    <t>Cash and cash equivalents at the end of period</t>
  </si>
  <si>
    <t>Dòng tiền hoạt động trước vốn lưu động</t>
  </si>
  <si>
    <t>CFO before Working capital</t>
  </si>
  <si>
    <t>Dòng tiền hoạt động</t>
  </si>
  <si>
    <t>Cash Flow of Operation</t>
  </si>
  <si>
    <t>Dòng tiền đầu tư</t>
  </si>
  <si>
    <t>Cash Flow of Investment</t>
  </si>
  <si>
    <t>Dòng tiền tài chính</t>
  </si>
  <si>
    <t>Cash Flow of Financial</t>
  </si>
  <si>
    <t>Dòng tiền ròng</t>
  </si>
  <si>
    <t>Net cash flow</t>
  </si>
  <si>
    <t>Tiền và các khoản tương đương tiền</t>
  </si>
  <si>
    <t>Cash and cash equivalent</t>
  </si>
  <si>
    <t>Financial Notes</t>
  </si>
  <si>
    <t xml:space="preserve">     Tiền mặt</t>
  </si>
  <si>
    <t xml:space="preserve">     Cash on hand</t>
  </si>
  <si>
    <t xml:space="preserve">     Tiền gửi Ngân hàng</t>
  </si>
  <si>
    <t xml:space="preserve">     Cash in banks</t>
  </si>
  <si>
    <t xml:space="preserve">     Tiền đang chuyển</t>
  </si>
  <si>
    <t xml:space="preserve">     Cash in transit</t>
  </si>
  <si>
    <t xml:space="preserve">     Tiền và tương đương tiền</t>
  </si>
  <si>
    <t>Đầu tư tài chính NH</t>
  </si>
  <si>
    <t xml:space="preserve">     Chứng khoán đầu tư ngắn hạn</t>
  </si>
  <si>
    <t xml:space="preserve">     Short-term securities investments</t>
  </si>
  <si>
    <t xml:space="preserve">     Short-term</t>
  </si>
  <si>
    <t xml:space="preserve">     Đầu tư dài hạn</t>
  </si>
  <si>
    <t xml:space="preserve">     Long-term</t>
  </si>
  <si>
    <t xml:space="preserve">     Other short-term investments</t>
  </si>
  <si>
    <t xml:space="preserve">     Dự phòng giảm giá ĐTNH</t>
  </si>
  <si>
    <t xml:space="preserve">     Provision for diminution in value of short-term investments</t>
  </si>
  <si>
    <t>Phải thu ngắn hạn khác</t>
  </si>
  <si>
    <t>Other Receivables</t>
  </si>
  <si>
    <t xml:space="preserve">     Phải thu về cổ tức và lợi nhuận được chia</t>
  </si>
  <si>
    <t xml:space="preserve">     Interest income</t>
  </si>
  <si>
    <t xml:space="preserve">     Phải thu người lao động</t>
  </si>
  <si>
    <t xml:space="preserve">     Receivable from employees</t>
  </si>
  <si>
    <t>Hàng tồn kho</t>
  </si>
  <si>
    <t>INVENTORIES</t>
  </si>
  <si>
    <t xml:space="preserve">     Hàng mua đang đi đường</t>
  </si>
  <si>
    <t xml:space="preserve">     Goods in transit</t>
  </si>
  <si>
    <t xml:space="preserve">     Nguyên liệu, vật liệu</t>
  </si>
  <si>
    <t xml:space="preserve">     Raw materials</t>
  </si>
  <si>
    <t xml:space="preserve">     Công cụ, dụng cụ</t>
  </si>
  <si>
    <t xml:space="preserve">     Tools and supplies</t>
  </si>
  <si>
    <t xml:space="preserve">     Chi phí SX, KD dở dang</t>
  </si>
  <si>
    <t xml:space="preserve">     Work in progress</t>
  </si>
  <si>
    <t xml:space="preserve">     Thành phẩm</t>
  </si>
  <si>
    <t xml:space="preserve">     Finished goods</t>
  </si>
  <si>
    <t xml:space="preserve">     Hàng hóa</t>
  </si>
  <si>
    <t xml:space="preserve">     Merchandise inventories</t>
  </si>
  <si>
    <t xml:space="preserve">     Hàng gửi đi bán</t>
  </si>
  <si>
    <t xml:space="preserve">     Goods on consignment</t>
  </si>
  <si>
    <t xml:space="preserve">     Hàng hoá kho bảo thuế</t>
  </si>
  <si>
    <t xml:space="preserve">     Goods in bonded warehouses</t>
  </si>
  <si>
    <t xml:space="preserve">     Hàng hoá bất động sản</t>
  </si>
  <si>
    <t xml:space="preserve">     Property</t>
  </si>
  <si>
    <t>Tài sản ngắn hạn khác</t>
  </si>
  <si>
    <t xml:space="preserve">     Tạm ứng</t>
  </si>
  <si>
    <t xml:space="preserve">     Advances</t>
  </si>
  <si>
    <t xml:space="preserve">     Lack of assets awaiting handling</t>
  </si>
  <si>
    <t xml:space="preserve">     Cầm cố, ký quỹ, ký cược NH</t>
  </si>
  <si>
    <t xml:space="preserve">     Short-term deposits or collateral</t>
  </si>
  <si>
    <t xml:space="preserve">     Khác</t>
  </si>
  <si>
    <t xml:space="preserve">     Other</t>
  </si>
  <si>
    <t>Phải thu dài hạn khác</t>
  </si>
  <si>
    <t>Other long-term receivables</t>
  </si>
  <si>
    <t xml:space="preserve">     Ký quỹ, ký cược dài hạn</t>
  </si>
  <si>
    <t xml:space="preserve">     Long-term deposits or collateral</t>
  </si>
  <si>
    <t xml:space="preserve">     Các khoản tiền nhận ủy thác</t>
  </si>
  <si>
    <t xml:space="preserve">     Sums received in Trust</t>
  </si>
  <si>
    <t xml:space="preserve">     Cho vay không có lãi</t>
  </si>
  <si>
    <t xml:space="preserve">     Loans without interest</t>
  </si>
  <si>
    <t xml:space="preserve">     Others</t>
  </si>
  <si>
    <t>Nguyên giá TSCĐHH</t>
  </si>
  <si>
    <t>Tangible fixed assets - Historical Cost</t>
  </si>
  <si>
    <t xml:space="preserve">     Nguyên giá đầu kỳ</t>
  </si>
  <si>
    <t xml:space="preserve">     Opening Balance</t>
  </si>
  <si>
    <t xml:space="preserve">     Tăng trong kỳ</t>
  </si>
  <si>
    <t xml:space="preserve">     Additions</t>
  </si>
  <si>
    <t xml:space="preserve">     Giảm trong kỳ</t>
  </si>
  <si>
    <t xml:space="preserve">     Decreases</t>
  </si>
  <si>
    <t>Hao mòn TSCĐHH</t>
  </si>
  <si>
    <t>Tangible fixed assets - Accumulated depreciation</t>
  </si>
  <si>
    <t xml:space="preserve">     Đầu kỳ</t>
  </si>
  <si>
    <t>Nguyên giá TSCĐ TTC</t>
  </si>
  <si>
    <t>Finance lease assets - Historical Cost</t>
  </si>
  <si>
    <t>Hao mòn TSCĐ TTC</t>
  </si>
  <si>
    <t>Finance lease assets - Accumulated depreciation</t>
  </si>
  <si>
    <t>Nguyên giá TSCĐVH</t>
  </si>
  <si>
    <t>Intangible fixed assets - Historical Cost</t>
  </si>
  <si>
    <t>Hao mòn TSCĐVH</t>
  </si>
  <si>
    <t>Intangible fixed assets - Accumulated amortization</t>
  </si>
  <si>
    <t>Đầu tư dài hạn khác</t>
  </si>
  <si>
    <t>Other long-term investments</t>
  </si>
  <si>
    <t xml:space="preserve">     Đầu tư cổ phiếu</t>
  </si>
  <si>
    <t xml:space="preserve">     Investment in securities</t>
  </si>
  <si>
    <t xml:space="preserve">     Đầu tư trái phiếu</t>
  </si>
  <si>
    <t xml:space="preserve">     Investment in bond</t>
  </si>
  <si>
    <t xml:space="preserve">     Đầu tư tín phiếu, kỳ phiếu</t>
  </si>
  <si>
    <t xml:space="preserve">     Investments in bills of exchange, treasury bonds</t>
  </si>
  <si>
    <t xml:space="preserve">     Cho vay dài hạn</t>
  </si>
  <si>
    <t xml:space="preserve">     Long-term loans</t>
  </si>
  <si>
    <t>Vay và nợ ngắn hạn</t>
  </si>
  <si>
    <t>Short-term loans and liabilities</t>
  </si>
  <si>
    <t xml:space="preserve">     Short-term loans</t>
  </si>
  <si>
    <t xml:space="preserve">     Long-term liabilities falling due</t>
  </si>
  <si>
    <t>Giá gốc Lợi thế thương mại</t>
  </si>
  <si>
    <t>Good will - Historical Cost</t>
  </si>
  <si>
    <t xml:space="preserve">     Số dư đầu kỳ</t>
  </si>
  <si>
    <t>Phân bổ Lũy kế</t>
  </si>
  <si>
    <t>Good will - Accumulated depreciation</t>
  </si>
  <si>
    <t xml:space="preserve">     Số dư dầu kỳ</t>
  </si>
  <si>
    <t>Các khoản phải trả về Thuế</t>
  </si>
  <si>
    <t>Taxes payable</t>
  </si>
  <si>
    <t xml:space="preserve">     Thuế GTGT</t>
  </si>
  <si>
    <t xml:space="preserve">     Value added tax</t>
  </si>
  <si>
    <t xml:space="preserve">     Thuế TTĐB</t>
  </si>
  <si>
    <t xml:space="preserve">     Special Sales Tax (SST)</t>
  </si>
  <si>
    <t xml:space="preserve">     Thuế XNK</t>
  </si>
  <si>
    <t xml:space="preserve">     Import-Export tax</t>
  </si>
  <si>
    <t xml:space="preserve">     Thuế TNDN</t>
  </si>
  <si>
    <t xml:space="preserve">     Corporate income Tax</t>
  </si>
  <si>
    <t xml:space="preserve">     Thuế TNCN</t>
  </si>
  <si>
    <t xml:space="preserve">     Personal Income Tax</t>
  </si>
  <si>
    <t xml:space="preserve">     Thuế Tài nguyên</t>
  </si>
  <si>
    <t xml:space="preserve">     Natural Resources Tax</t>
  </si>
  <si>
    <t xml:space="preserve">     Thuế nhà đất và tiền thuê đất</t>
  </si>
  <si>
    <t xml:space="preserve">     Housing and land Tax, and land rental</t>
  </si>
  <si>
    <t xml:space="preserve">     Các loại thuế khác</t>
  </si>
  <si>
    <t xml:space="preserve">     Other taxes</t>
  </si>
  <si>
    <t xml:space="preserve">     Các khoản phí, lệ phí khác</t>
  </si>
  <si>
    <t xml:space="preserve">     Other fees, charges</t>
  </si>
  <si>
    <t>Chi phí phải trả</t>
  </si>
  <si>
    <t>Expenses payable</t>
  </si>
  <si>
    <t xml:space="preserve">     Trích trước CP lương nghỉ phép</t>
  </si>
  <si>
    <t xml:space="preserve">     Advances on salary during the period of taking leave</t>
  </si>
  <si>
    <t xml:space="preserve">     Chi phí SCL TSCĐ</t>
  </si>
  <si>
    <t xml:space="preserve">     Expenses for major repair to fixed assets</t>
  </si>
  <si>
    <t xml:space="preserve">     Chi phí trong thời gian ngừng KD</t>
  </si>
  <si>
    <t xml:space="preserve">     Expenses during the period of cessation of business activities</t>
  </si>
  <si>
    <t>Phải trả phải nộp khác</t>
  </si>
  <si>
    <t>Other Payables</t>
  </si>
  <si>
    <t xml:space="preserve">     Tài sản thừa chờ XL</t>
  </si>
  <si>
    <t xml:space="preserve">     Surplus assets awaiting handling</t>
  </si>
  <si>
    <t xml:space="preserve">     Kinh phí công đoàn</t>
  </si>
  <si>
    <t xml:space="preserve">     Trade Union fees</t>
  </si>
  <si>
    <t xml:space="preserve">     Bảo hiểm xã hội</t>
  </si>
  <si>
    <t xml:space="preserve">     Social insurance</t>
  </si>
  <si>
    <t xml:space="preserve">     Bảo hiểm y tế</t>
  </si>
  <si>
    <t xml:space="preserve">     Medical Insurance</t>
  </si>
  <si>
    <t xml:space="preserve">     Bảo hiểm thất nghiệp</t>
  </si>
  <si>
    <t xml:space="preserve">     Unemployment insurance</t>
  </si>
  <si>
    <t xml:space="preserve">     Payables regarding equitization</t>
  </si>
  <si>
    <t xml:space="preserve">     Receipt of short-term deposits or collateral</t>
  </si>
  <si>
    <t xml:space="preserve">     Unrealized revenue</t>
  </si>
  <si>
    <t>Vay Dài hạn</t>
  </si>
  <si>
    <t>Long-term borrowings</t>
  </si>
  <si>
    <t xml:space="preserve">     Vay ngân hàng</t>
  </si>
  <si>
    <t xml:space="preserve">     Bank loans</t>
  </si>
  <si>
    <t xml:space="preserve">     Loans from other lenders</t>
  </si>
  <si>
    <t xml:space="preserve">     Trái phiếu phát hành</t>
  </si>
  <si>
    <t xml:space="preserve">     Issued bonds</t>
  </si>
  <si>
    <t xml:space="preserve">     Thuê tài chính</t>
  </si>
  <si>
    <t xml:space="preserve">     Financially leased liabilities</t>
  </si>
  <si>
    <t xml:space="preserve">     Nợ dài hạn khác</t>
  </si>
  <si>
    <t xml:space="preserve">     Other long-term liabilities</t>
  </si>
  <si>
    <t>Vốn chủ sở hữu</t>
  </si>
  <si>
    <t>Paid-in capital</t>
  </si>
  <si>
    <t xml:space="preserve">     Vốn góp của nhà nước</t>
  </si>
  <si>
    <t xml:space="preserve">     Capital contributed by the State</t>
  </si>
  <si>
    <t xml:space="preserve">     Vốn đầu tư của đối tượng khác</t>
  </si>
  <si>
    <t xml:space="preserve">     Capital contributed by other entities</t>
  </si>
  <si>
    <t>Doanh thu</t>
  </si>
  <si>
    <t xml:space="preserve">     Doanh thu bán hàng</t>
  </si>
  <si>
    <t xml:space="preserve">     Sales of merchandise goods</t>
  </si>
  <si>
    <t xml:space="preserve">     Doanh thu cung cấp dịch vụ</t>
  </si>
  <si>
    <t xml:space="preserve">     Sale from services</t>
  </si>
  <si>
    <t xml:space="preserve">     Doanh thu hợp đồng xây dựng</t>
  </si>
  <si>
    <t xml:space="preserve">     Sale from construction contracts</t>
  </si>
  <si>
    <t>Giảm trừ doanh thu</t>
  </si>
  <si>
    <t>Sales of merchandise goods</t>
  </si>
  <si>
    <t xml:space="preserve">     Chiết khấu thương mại</t>
  </si>
  <si>
    <t xml:space="preserve">     Trade discounts</t>
  </si>
  <si>
    <t xml:space="preserve">     Giảm giá hàng bán</t>
  </si>
  <si>
    <t xml:space="preserve">     Reductions in prices of goods sold</t>
  </si>
  <si>
    <t xml:space="preserve">     Hàng bán bị trả lại</t>
  </si>
  <si>
    <t xml:space="preserve">     Sales returns</t>
  </si>
  <si>
    <t xml:space="preserve">     Thuế GTGT phải nộp</t>
  </si>
  <si>
    <t xml:space="preserve">     VAT payable</t>
  </si>
  <si>
    <t xml:space="preserve">     Thuế tiêu thụ đặc biệt</t>
  </si>
  <si>
    <t xml:space="preserve">     Special sales tax</t>
  </si>
  <si>
    <t xml:space="preserve">     Thuế xuất khẩu</t>
  </si>
  <si>
    <t xml:space="preserve">     Export Duty</t>
  </si>
  <si>
    <t>Giá vốn</t>
  </si>
  <si>
    <t xml:space="preserve">     Giá vốn hàng hóa đã bán</t>
  </si>
  <si>
    <t xml:space="preserve">     Merchandise goods sold</t>
  </si>
  <si>
    <t xml:space="preserve">     Giá vốn thành phẩm đã bán</t>
  </si>
  <si>
    <t xml:space="preserve">     Finished goods sold</t>
  </si>
  <si>
    <t xml:space="preserve">     Giá vốn của dịch vụ cung cấp</t>
  </si>
  <si>
    <t xml:space="preserve">     Other services provided</t>
  </si>
  <si>
    <t xml:space="preserve">     Giá trị còn lại, chi phí nhượng bán, Thanh lý BĐS đầu tư đã bán</t>
  </si>
  <si>
    <t xml:space="preserve">     Real estate services provided</t>
  </si>
  <si>
    <t xml:space="preserve">     Chi phí kinh doanh BĐS đầu tư</t>
  </si>
  <si>
    <t xml:space="preserve">     Trade expenses of invested properties</t>
  </si>
  <si>
    <t xml:space="preserve">     Hao hụt, mất mát hàng tồn kho</t>
  </si>
  <si>
    <t xml:space="preserve">     Inventories deficiencies</t>
  </si>
  <si>
    <t xml:space="preserve">     Các khoản chi phí vượt mức bình thường</t>
  </si>
  <si>
    <t xml:space="preserve">     Expenses in excess of normal value</t>
  </si>
  <si>
    <t xml:space="preserve">     Dự phòng</t>
  </si>
  <si>
    <t xml:space="preserve">     Provision/(reversal of provision) for the decline in value of inventory</t>
  </si>
  <si>
    <t>Doanh thu tài chính</t>
  </si>
  <si>
    <t xml:space="preserve">     Lãi tiền gửi, tiền cho vay</t>
  </si>
  <si>
    <t xml:space="preserve">     Interest income on loans and Deposits granted</t>
  </si>
  <si>
    <t xml:space="preserve">     Lãi đầu tư trái phiếu, kỳ phiếu, tín phiếu</t>
  </si>
  <si>
    <t xml:space="preserve">     Gain on disposal of securities</t>
  </si>
  <si>
    <t xml:space="preserve">     Cổ tức, lợi nhuận được chia</t>
  </si>
  <si>
    <t xml:space="preserve">     Dividends income</t>
  </si>
  <si>
    <t xml:space="preserve">     Lãi từ bán, thanh lý các khoản đầu tư</t>
  </si>
  <si>
    <t xml:space="preserve">     Gain from disposal of Short-term or long-term investments</t>
  </si>
  <si>
    <t xml:space="preserve">     Lãi bán ngoại tệ</t>
  </si>
  <si>
    <t xml:space="preserve">     Gains from sale of foreign currency</t>
  </si>
  <si>
    <t xml:space="preserve">     Lãi chênh lệch tỷ giá đã thực hiện</t>
  </si>
  <si>
    <t xml:space="preserve">     Realized foreign exchange gains</t>
  </si>
  <si>
    <t xml:space="preserve">     Lãi chênh lệch tỷ giá chưa thực hiện</t>
  </si>
  <si>
    <t xml:space="preserve">     Unrealized foreign exchange gains</t>
  </si>
  <si>
    <t xml:space="preserve">     Lãi bán hành trả chậm</t>
  </si>
  <si>
    <t xml:space="preserve">     Gains from sale of deferred payments goods</t>
  </si>
  <si>
    <t xml:space="preserve">     Doanh thu hoạt động tài chính khác</t>
  </si>
  <si>
    <t xml:space="preserve">     Lãi tiền vay</t>
  </si>
  <si>
    <t xml:space="preserve">     Interest expenses on loans</t>
  </si>
  <si>
    <t xml:space="preserve">     Chiết khấu thanh toán, lãi bán hàng trả chậm</t>
  </si>
  <si>
    <t xml:space="preserve">     Payments discount, gains from sale of deferred payments goods</t>
  </si>
  <si>
    <t xml:space="preserve">     Lỗ do thanh lý các khoản đầu tư ngắn hạn, dài hạn</t>
  </si>
  <si>
    <t xml:space="preserve">     Loss from disposal of Short-term or long-term investments</t>
  </si>
  <si>
    <t xml:space="preserve">     Lỗ bán ngoại tệ</t>
  </si>
  <si>
    <t xml:space="preserve">     Loss from sale of foreign currency</t>
  </si>
  <si>
    <t xml:space="preserve">     Lỗ chênh lệch tỷ giá đã thực hiện</t>
  </si>
  <si>
    <t xml:space="preserve">     Realized foreign exchange losses</t>
  </si>
  <si>
    <t xml:space="preserve">     Lỗ chênh lệch tỷ giá chưa thực hiện</t>
  </si>
  <si>
    <t xml:space="preserve">     Unrealized foreign exchange losses</t>
  </si>
  <si>
    <t xml:space="preserve">     Dự phòng giảm giá các khoản đầu tư ngắn hạn, dài hạn</t>
  </si>
  <si>
    <t xml:space="preserve">     Provisions for reduction in price of short-term or long-term investments</t>
  </si>
  <si>
    <t xml:space="preserve">     Chi phí tài chính khác</t>
  </si>
  <si>
    <t>Chi phí sản xuất theo yếu tố</t>
  </si>
  <si>
    <t>Cost of goods manufactured by factors</t>
  </si>
  <si>
    <t xml:space="preserve">     Chi phí nguyên liệu, vật liệu</t>
  </si>
  <si>
    <t xml:space="preserve">     Chi phí nhân công</t>
  </si>
  <si>
    <t xml:space="preserve">     Labor costs</t>
  </si>
  <si>
    <t xml:space="preserve">     Chi phí khấu hao tài sản cố định</t>
  </si>
  <si>
    <t xml:space="preserve">     Depreciation expense</t>
  </si>
  <si>
    <t xml:space="preserve">     Chi phí dịch vụ mua ngoài</t>
  </si>
  <si>
    <t xml:space="preserve">     Outside service expenses</t>
  </si>
  <si>
    <t xml:space="preserve">     Chi phí khác bằng tiền</t>
  </si>
  <si>
    <t xml:space="preserve">     Other cash expenses</t>
  </si>
  <si>
    <t>Đầu tư tài chính</t>
  </si>
  <si>
    <t>Financial investment</t>
  </si>
  <si>
    <t>Phải thu khách hàng</t>
  </si>
  <si>
    <t>Account Receivables</t>
  </si>
  <si>
    <t>Inventories</t>
  </si>
  <si>
    <t>Fixed asset</t>
  </si>
  <si>
    <t>Phải trả người bán</t>
  </si>
  <si>
    <t>Account Payable</t>
  </si>
  <si>
    <t>Non-Current Liabilities</t>
  </si>
  <si>
    <t>Revenue</t>
  </si>
  <si>
    <t>Cost of good sold</t>
  </si>
  <si>
    <t>Financial gain</t>
  </si>
  <si>
    <t>Financial expense</t>
  </si>
  <si>
    <t>Chi phí khác</t>
  </si>
  <si>
    <t>Other expenses</t>
  </si>
  <si>
    <t>Criterials</t>
  </si>
  <si>
    <t>Unit</t>
  </si>
  <si>
    <t xml:space="preserve">   1. Compose Information</t>
  </si>
  <si>
    <t>(VND bn)</t>
  </si>
  <si>
    <t>Revenue reports</t>
  </si>
  <si>
    <t xml:space="preserve">   Data errors</t>
  </si>
  <si>
    <t xml:space="preserve">   %YoY</t>
  </si>
  <si>
    <t>(%)</t>
  </si>
  <si>
    <t>Breakdown proportion</t>
  </si>
  <si>
    <t xml:space="preserve"> (%)</t>
  </si>
  <si>
    <t xml:space="preserve">   Raw Materials cost</t>
  </si>
  <si>
    <t xml:space="preserve">   Labor cost</t>
  </si>
  <si>
    <t xml:space="preserve">   Fixed A depriciation cost</t>
  </si>
  <si>
    <t xml:space="preserve">   Outsources cost</t>
  </si>
  <si>
    <t xml:space="preserve">   Other cost</t>
  </si>
  <si>
    <t>Gross Profit Margin</t>
  </si>
  <si>
    <t xml:space="preserve">   As a revenue</t>
  </si>
  <si>
    <t>G&amp;A expenses</t>
  </si>
  <si>
    <t>Breakdown operation expenses</t>
  </si>
  <si>
    <t>Total COGS</t>
  </si>
  <si>
    <t>Selling Expenses</t>
  </si>
  <si>
    <t>GS&amp;A Expenses</t>
  </si>
  <si>
    <t>Financial Revenue</t>
  </si>
  <si>
    <t>Financial Expenses</t>
  </si>
  <si>
    <t xml:space="preserve">   Interest Expenses</t>
  </si>
  <si>
    <t>Gain/ loss of joint venture</t>
  </si>
  <si>
    <t>Net other income</t>
  </si>
  <si>
    <t>Earning before tax (EBT)</t>
  </si>
  <si>
    <t>Corporate tax</t>
  </si>
  <si>
    <t xml:space="preserve">   Tax rate</t>
  </si>
  <si>
    <t>Earning after tax (EBT)</t>
  </si>
  <si>
    <t xml:space="preserve">  2. Detail</t>
  </si>
  <si>
    <t xml:space="preserve">    Selling volume</t>
  </si>
  <si>
    <t xml:space="preserve">      %YoY growth</t>
  </si>
  <si>
    <t xml:space="preserve">    ASP per unit</t>
  </si>
  <si>
    <t>3. Other segment</t>
  </si>
  <si>
    <t>Actual Cost of good sold</t>
  </si>
  <si>
    <t xml:space="preserve">   Spread</t>
  </si>
  <si>
    <t>Estimate COGS by segments</t>
  </si>
  <si>
    <t xml:space="preserve">   Raw Materials cost_After adjust</t>
  </si>
  <si>
    <t xml:space="preserve">      Raw Materials cost</t>
  </si>
  <si>
    <t>Operation expenses</t>
  </si>
  <si>
    <t xml:space="preserve">   Warranty reserve</t>
  </si>
  <si>
    <t>GS&amp;A expenses</t>
  </si>
  <si>
    <t xml:space="preserve">   Provision for doubtful debts</t>
  </si>
  <si>
    <t>Fixed A depriciation cost (except in COGS)</t>
  </si>
  <si>
    <t>Items</t>
  </si>
  <si>
    <t>1. Revenue</t>
  </si>
  <si>
    <t>(Thoudsan Units)</t>
  </si>
  <si>
    <t xml:space="preserve">    % Selling volume/ Capacity</t>
  </si>
  <si>
    <t xml:space="preserve">    %CAGR in the 2017 - 2021</t>
  </si>
  <si>
    <t>(VNDbn)</t>
  </si>
  <si>
    <t xml:space="preserve">     %CAGR in the 2018 - 2023</t>
  </si>
  <si>
    <t>2. COGS</t>
  </si>
  <si>
    <t>A. Summary data</t>
  </si>
  <si>
    <t>Absolute data for COGS</t>
  </si>
  <si>
    <t xml:space="preserve">   Outsources cost and other cost</t>
  </si>
  <si>
    <t>Relative data for COGS</t>
  </si>
  <si>
    <t>B. Detail Breakdown and Forecast</t>
  </si>
  <si>
    <t>Raw materials cost</t>
  </si>
  <si>
    <t xml:space="preserve">    % Growth YoY</t>
  </si>
  <si>
    <t>(USD/kg)</t>
  </si>
  <si>
    <t>(USD/bbl)</t>
  </si>
  <si>
    <t>Growth of Synthentic Rubbers (60-70% Raw oil)</t>
  </si>
  <si>
    <t>(USD/mt)</t>
  </si>
  <si>
    <t>4. Others raw materials cost</t>
  </si>
  <si>
    <t>Labor cost</t>
  </si>
  <si>
    <t xml:space="preserve">    % As a revenue</t>
  </si>
  <si>
    <t>Fixed A depriciation cost</t>
  </si>
  <si>
    <t>Depriciation year numbers</t>
  </si>
  <si>
    <t>Radial depricitiaon factory by year</t>
  </si>
  <si>
    <t>Total Investment in Phase 1 (Fully depreciated)</t>
  </si>
  <si>
    <t xml:space="preserve">     Beginning</t>
  </si>
  <si>
    <t xml:space="preserve">     Deprication by year</t>
  </si>
  <si>
    <t xml:space="preserve">     Ending</t>
  </si>
  <si>
    <t xml:space="preserve">Total Investment in Phase 2 </t>
  </si>
  <si>
    <t xml:space="preserve">Total Investment in Phase 3.1 </t>
  </si>
  <si>
    <t>Total Investment in Phase 3.2</t>
  </si>
  <si>
    <t>Other depriciation cost</t>
  </si>
  <si>
    <t>Out soucres and other COGS cost</t>
  </si>
  <si>
    <t xml:space="preserve">    % Gross profit margin</t>
  </si>
  <si>
    <t>Operating Profit</t>
  </si>
  <si>
    <t xml:space="preserve">    % Operating margin</t>
  </si>
  <si>
    <t>Shared profit/(loss) from associates</t>
  </si>
  <si>
    <t>Net other income (expenses)</t>
  </si>
  <si>
    <t>1. Input data</t>
  </si>
  <si>
    <t>2. Process data</t>
  </si>
  <si>
    <t>3. Assumptions</t>
  </si>
  <si>
    <t>a. Trading data</t>
  </si>
  <si>
    <t>b. Other data and Process Raw data</t>
  </si>
  <si>
    <t>a. ERP</t>
  </si>
  <si>
    <t>Date</t>
  </si>
  <si>
    <t>Tickers</t>
  </si>
  <si>
    <t>Data</t>
  </si>
  <si>
    <t>Method 1</t>
  </si>
  <si>
    <t>Last Price</t>
  </si>
  <si>
    <t>Change</t>
  </si>
  <si>
    <t>ERP US (Damodaran)</t>
  </si>
  <si>
    <t>ERP US</t>
  </si>
  <si>
    <t>Risk free rate</t>
  </si>
  <si>
    <t>PX_LAST</t>
  </si>
  <si>
    <t>Chênh lệch CDS (Damodaran)</t>
  </si>
  <si>
    <t>Hệ số điều chỉnh</t>
  </si>
  <si>
    <t>Beta (U)</t>
  </si>
  <si>
    <t>Chênh lệch Moody's Rating (Damodaran)</t>
  </si>
  <si>
    <t>ERP VN</t>
  </si>
  <si>
    <t>Current Cost of Equity (Ke)</t>
  </si>
  <si>
    <t>Thuế suất thuế TNDN</t>
  </si>
  <si>
    <t>Method 2</t>
  </si>
  <si>
    <t>Current Cost of Debt</t>
  </si>
  <si>
    <t>Tax rate</t>
  </si>
  <si>
    <t>Current Cost of Debt after tax (Kd)</t>
  </si>
  <si>
    <t xml:space="preserve">Hệ số </t>
  </si>
  <si>
    <t>D/E</t>
  </si>
  <si>
    <t>D/(D+E)</t>
  </si>
  <si>
    <t>Current WACC</t>
  </si>
  <si>
    <t>Average</t>
  </si>
  <si>
    <t>Final</t>
  </si>
  <si>
    <t>Others Data</t>
  </si>
  <si>
    <t>Fields (If Any)</t>
  </si>
  <si>
    <t>1. Market Data</t>
  </si>
  <si>
    <t xml:space="preserve">     Market Price (VND)</t>
  </si>
  <si>
    <t xml:space="preserve">     52-Week high (VND)</t>
  </si>
  <si>
    <t>HIGH_52WEEK</t>
  </si>
  <si>
    <t xml:space="preserve">     52-Week low (VND)</t>
  </si>
  <si>
    <t>LOW_52WEEK</t>
  </si>
  <si>
    <t xml:space="preserve">     6M avg. daily turnover (VND bn)</t>
  </si>
  <si>
    <t>180_DAY_AVERAGE_TURNOVER_AT_TIME</t>
  </si>
  <si>
    <t xml:space="preserve">     Shares outstanding (Mil Shares)</t>
  </si>
  <si>
    <t>EQY_SH_OUT</t>
  </si>
  <si>
    <t>CUR_MKT_CAP</t>
  </si>
  <si>
    <t xml:space="preserve">     State ownership (%)</t>
  </si>
  <si>
    <t/>
  </si>
  <si>
    <t xml:space="preserve">     Foreign ownership (%)</t>
  </si>
  <si>
    <t xml:space="preserve">     Free float ratio (%)</t>
  </si>
  <si>
    <t>EQY_FREE_FLOAT_PCT</t>
  </si>
  <si>
    <t>2. Welfare &amp; Dividends</t>
  </si>
  <si>
    <t>Consolidated Net income</t>
  </si>
  <si>
    <t>Parent company's Net income</t>
  </si>
  <si>
    <t>Appropriation of reserves</t>
  </si>
  <si>
    <t xml:space="preserve">  Fund inside</t>
  </si>
  <si>
    <t xml:space="preserve">  Fund outside</t>
  </si>
  <si>
    <t xml:space="preserve">    Other funds</t>
  </si>
  <si>
    <t>Cash Dividend</t>
  </si>
  <si>
    <t xml:space="preserve">     % Payout ratio</t>
  </si>
  <si>
    <t>1st cash dividend</t>
  </si>
  <si>
    <t xml:space="preserve">     % MP</t>
  </si>
  <si>
    <t>2nd cash dividend</t>
  </si>
  <si>
    <t>Stocks Dividend</t>
  </si>
  <si>
    <t>% MP of 1st Stocks Dividend</t>
  </si>
  <si>
    <t>% MP of 2nd Stocks Dividend</t>
  </si>
  <si>
    <t>3. Average shares outstanding</t>
  </si>
  <si>
    <t>Beginning shares recording (Mil Shares)</t>
  </si>
  <si>
    <t xml:space="preserve">   Addition public issue (Mil Shares)</t>
  </si>
  <si>
    <t xml:space="preserve">      - Phase 1</t>
  </si>
  <si>
    <t xml:space="preserve">      - Phase 2</t>
  </si>
  <si>
    <t xml:space="preserve">      - Phase 3</t>
  </si>
  <si>
    <t xml:space="preserve">   Stock divident in years (Mil Shares)</t>
  </si>
  <si>
    <t xml:space="preserve">   Bonus shares (Mil Shares)</t>
  </si>
  <si>
    <t xml:space="preserve">   ESOP Shares (Mil Shares)</t>
  </si>
  <si>
    <t>Ending shares recording (Mil Shares)</t>
  </si>
  <si>
    <t>Treasury shares (Mil Shares)</t>
  </si>
  <si>
    <t>Average shares outstanding in year</t>
  </si>
  <si>
    <t>Bloomberg average shares outsstanding - Basic</t>
  </si>
  <si>
    <t>ARDR_WEIGHT_AVG_SHARES_BASIC</t>
  </si>
  <si>
    <t>Bloomberg average shares outsstanding - Diluted</t>
  </si>
  <si>
    <t>ARDR_WEIGHT_AVG_SHARES_DILUTED</t>
  </si>
  <si>
    <t>Total Asset</t>
  </si>
  <si>
    <t>Current Asset</t>
  </si>
  <si>
    <t>Cash &amp; Equivalents</t>
  </si>
  <si>
    <t>Other Current Asset</t>
  </si>
  <si>
    <t>Non-Current Asset</t>
  </si>
  <si>
    <t xml:space="preserve">     Accumulated D&amp;A</t>
  </si>
  <si>
    <t>Net Fixed Assets</t>
  </si>
  <si>
    <t>Long-term investment</t>
  </si>
  <si>
    <t xml:space="preserve">Other Long-term asset  </t>
  </si>
  <si>
    <t>Total Liabilities and Stockholder' equity</t>
  </si>
  <si>
    <t>Current Liabilities</t>
  </si>
  <si>
    <t>Account Payables</t>
  </si>
  <si>
    <t>Short-term debt</t>
  </si>
  <si>
    <t>Other Current Liabilities</t>
  </si>
  <si>
    <t>Long-term Debt</t>
  </si>
  <si>
    <t>Other Non-Current Liabilities</t>
  </si>
  <si>
    <t>Total stockholders' equity</t>
  </si>
  <si>
    <t>Common shares value</t>
  </si>
  <si>
    <t>Preferred shares value</t>
  </si>
  <si>
    <t>Share premium</t>
  </si>
  <si>
    <t>Retained earnings</t>
  </si>
  <si>
    <t>Other Equity</t>
  </si>
  <si>
    <t>Backing Test</t>
  </si>
  <si>
    <t>Change in Working Capital</t>
  </si>
  <si>
    <t>(Ins) Des in Account Receivables</t>
  </si>
  <si>
    <t>(Ins) Des in Inventory</t>
  </si>
  <si>
    <t>(Ins) Des in Other Current Asset</t>
  </si>
  <si>
    <t>Ins (Des) in Account Payable</t>
  </si>
  <si>
    <t>Ins (Des) in Current Liabilities</t>
  </si>
  <si>
    <t>Activities ratios</t>
  </si>
  <si>
    <t>Day in Account Receivables</t>
  </si>
  <si>
    <t>(Days)</t>
  </si>
  <si>
    <t>Day in Account Inventories</t>
  </si>
  <si>
    <t>Day in Account Payables</t>
  </si>
  <si>
    <t>Other % short-term asset on sale</t>
  </si>
  <si>
    <t>Other % short-term liabilities on sale</t>
  </si>
  <si>
    <t xml:space="preserve">     Interest expenses</t>
  </si>
  <si>
    <t>Eearning before tax (EBT)</t>
  </si>
  <si>
    <t>EBITDA</t>
  </si>
  <si>
    <t>Income tax expenses</t>
  </si>
  <si>
    <t xml:space="preserve">     Tax rates</t>
  </si>
  <si>
    <t xml:space="preserve">(%) </t>
  </si>
  <si>
    <t>Eearning after tax (EAT)</t>
  </si>
  <si>
    <t>Financial Income</t>
  </si>
  <si>
    <t>Interest income of cash</t>
  </si>
  <si>
    <t>Interest rate</t>
  </si>
  <si>
    <t>Realized FX gains</t>
  </si>
  <si>
    <t>Realized FX gains % of sales (USD)</t>
  </si>
  <si>
    <t>Interest expenses</t>
  </si>
  <si>
    <t>Cash available/required before debt</t>
  </si>
  <si>
    <t xml:space="preserve">      (Add) Beginning cash in BS</t>
  </si>
  <si>
    <t xml:space="preserve">      (Less): Mnimum cash balance</t>
  </si>
  <si>
    <t xml:space="preserve">             Minimum cash % on Net Sales</t>
  </si>
  <si>
    <t xml:space="preserve">      (Add) Net mandatory debt</t>
  </si>
  <si>
    <t>Cash before discretionary debt</t>
  </si>
  <si>
    <t>Debt breakdown (Long term)</t>
  </si>
  <si>
    <t>Beginning balance</t>
  </si>
  <si>
    <t>Mandatory Debt Repayment (Transfer to short-term)</t>
  </si>
  <si>
    <t>Borrowing - Refinance</t>
  </si>
  <si>
    <t>Ending balance</t>
  </si>
  <si>
    <t>Average balance</t>
  </si>
  <si>
    <t>Debt breakdown (Short term)</t>
  </si>
  <si>
    <t>Discretionary Sweep/borrowing</t>
  </si>
  <si>
    <t>Minimum short term debt balance to fullfill liquidity need</t>
  </si>
  <si>
    <t xml:space="preserve">     Working capital</t>
  </si>
  <si>
    <t xml:space="preserve">     Short term debt % on working cap</t>
  </si>
  <si>
    <t>Minimum Shorterm Debt</t>
  </si>
  <si>
    <t>Transfer from long term debt</t>
  </si>
  <si>
    <t>Payment discount</t>
  </si>
  <si>
    <t>Realized FX losses</t>
  </si>
  <si>
    <t>Unrealized FX losses</t>
  </si>
  <si>
    <t>Others</t>
  </si>
  <si>
    <t>Cash from Operating activities</t>
  </si>
  <si>
    <t>Net income</t>
  </si>
  <si>
    <t>Depreciation &amp; Amortization</t>
  </si>
  <si>
    <t>Change in working capital</t>
  </si>
  <si>
    <t>Other adjustment</t>
  </si>
  <si>
    <t>Cash From Investing Activities</t>
  </si>
  <si>
    <t>Capital Expenditure (CAPEX)</t>
  </si>
  <si>
    <t>Disposal of FA</t>
  </si>
  <si>
    <t>Loans granted, purchases of debt instruments</t>
  </si>
  <si>
    <t>Net other investing cash flow</t>
  </si>
  <si>
    <t>Cash from Financing Activities</t>
  </si>
  <si>
    <t>Dividend paid</t>
  </si>
  <si>
    <t>New shares issue</t>
  </si>
  <si>
    <t>Rebuy shares</t>
  </si>
  <si>
    <t>Change in short-term debt</t>
  </si>
  <si>
    <t>Change in Long-term debt</t>
  </si>
  <si>
    <t>Other financing cash flows</t>
  </si>
  <si>
    <t>Beginning cash</t>
  </si>
  <si>
    <t>Net Change in period</t>
  </si>
  <si>
    <t>Ending cash</t>
  </si>
  <si>
    <t>1. Activity ratios</t>
  </si>
  <si>
    <t>Inventory turnover</t>
  </si>
  <si>
    <t>Days of inventory on hand (DOH)</t>
  </si>
  <si>
    <t>Receivables turnover</t>
  </si>
  <si>
    <t>Days of sales outstanding (DSO)</t>
  </si>
  <si>
    <t>Payable Turnover</t>
  </si>
  <si>
    <t>Number of days of payables</t>
  </si>
  <si>
    <t>Working capital turnover</t>
  </si>
  <si>
    <t>Fixed assets turnover</t>
  </si>
  <si>
    <t>Total Asset turnover</t>
  </si>
  <si>
    <t>2. Liquidity ratios</t>
  </si>
  <si>
    <t>Current</t>
  </si>
  <si>
    <t>Quick</t>
  </si>
  <si>
    <t>Cash</t>
  </si>
  <si>
    <t>Cash conversion cycle</t>
  </si>
  <si>
    <t>3. Solvency Ratios</t>
  </si>
  <si>
    <t>Debt-to-assets</t>
  </si>
  <si>
    <t>Dept-to-capital</t>
  </si>
  <si>
    <t>Dept-to-equity</t>
  </si>
  <si>
    <t>Financial leverage</t>
  </si>
  <si>
    <t>Gross profit margin</t>
  </si>
  <si>
    <t>Operating margin</t>
  </si>
  <si>
    <t>Pretax margin</t>
  </si>
  <si>
    <t>Net profit margin</t>
  </si>
  <si>
    <t>Opearting ROA</t>
  </si>
  <si>
    <t>ROA</t>
  </si>
  <si>
    <t>Return on total capital</t>
  </si>
  <si>
    <t>ROE</t>
  </si>
  <si>
    <t>Valuation date</t>
  </si>
  <si>
    <t>Beta</t>
  </si>
  <si>
    <t>WACC</t>
  </si>
  <si>
    <t xml:space="preserve">     USDVND Curncy</t>
  </si>
  <si>
    <t>Q3/2024</t>
  </si>
  <si>
    <t>Q4/2024</t>
  </si>
  <si>
    <t>Q1/2025</t>
  </si>
  <si>
    <t>Q2/2025</t>
  </si>
  <si>
    <t xml:space="preserve">     Đầu tư góp vốn vào đơn vị khác </t>
  </si>
  <si>
    <t xml:space="preserve">     Phải thu ngắn hạn của khách hàng </t>
  </si>
  <si>
    <t xml:space="preserve">     Receivables from customers</t>
  </si>
  <si>
    <t xml:space="preserve">     Phải trả về CPH ( cổ tức phải trả)</t>
  </si>
  <si>
    <t xml:space="preserve">     Doanh thu chưa thực hiện ( khoản thu hộ hãng tàu)</t>
  </si>
  <si>
    <t xml:space="preserve">     Vay ngắn hạn </t>
  </si>
  <si>
    <t xml:space="preserve">     Vay dài hạn đến hạn trả </t>
  </si>
  <si>
    <t xml:space="preserve">     Đầu tư dài hạn khác </t>
  </si>
  <si>
    <t>PWC</t>
  </si>
  <si>
    <t xml:space="preserve">     Vay đối tượng khác ( dự phòng dài hạn phải trả)</t>
  </si>
  <si>
    <t xml:space="preserve">     Nhận ký quỹ, ký cược NH ( Phải trả liên quan đến đầu tư công ty con)</t>
  </si>
  <si>
    <t xml:space="preserve">     Market cap (Mil VND mn)</t>
  </si>
  <si>
    <t>Hệ số D/E in 2024</t>
  </si>
  <si>
    <t>Port Operation Services</t>
  </si>
  <si>
    <t>Transportation &amp; Freight Services</t>
  </si>
  <si>
    <t>Other</t>
  </si>
  <si>
    <t>1. Port Operation Services</t>
  </si>
  <si>
    <t>2. Transportation &amp; Freight Services</t>
  </si>
  <si>
    <t>(VND)</t>
  </si>
  <si>
    <t xml:space="preserve">1. Sector 1 </t>
  </si>
  <si>
    <t xml:space="preserve">sector 1 world price </t>
  </si>
  <si>
    <t>Average growth of sector 1 cost in COGS (Natural : ..%, Raw oil: ..%)</t>
  </si>
  <si>
    <t xml:space="preserve">    % Sector 1  price CAGR in five years</t>
  </si>
  <si>
    <t xml:space="preserve">2. Sector 2 </t>
  </si>
  <si>
    <t>Sector 2 price World Bank</t>
  </si>
  <si>
    <t>3. Sector 3</t>
  </si>
  <si>
    <t>World Sector 3 price</t>
  </si>
  <si>
    <t>Average CAGR of Natura Sector 1 in last four year data</t>
  </si>
  <si>
    <t xml:space="preserve"> (VND)</t>
  </si>
  <si>
    <t>PD_Operation — Forecast Drivers</t>
  </si>
  <si>
    <t>Item</t>
  </si>
  <si>
    <t>OD_Valuation — DCF / FCFF</t>
  </si>
  <si>
    <t>INPUTS (edit these — blue cells)</t>
  </si>
  <si>
    <t>Last historical year-end</t>
  </si>
  <si>
    <t>Forecast years (N)</t>
  </si>
  <si>
    <t>Risk-free rate (Rf)</t>
  </si>
  <si>
    <t>Equity Risk Premium (ERP)</t>
  </si>
  <si>
    <t>Pre-tax Cost of Debt (Kd)</t>
  </si>
  <si>
    <t>Target D/(D+E)</t>
  </si>
  <si>
    <t>Constant growth (g)</t>
  </si>
  <si>
    <t>Current market price (VND/share)</t>
  </si>
  <si>
    <t>Shares outstanding (mn)</t>
  </si>
  <si>
    <t>DERIVED (auto-calculated)</t>
  </si>
  <si>
    <t>Cost of Equity (Ke = Rf + Beta*ERP)</t>
  </si>
  <si>
    <t>After-tax Cost of Debt (Kd*(1-T))</t>
  </si>
  <si>
    <t>Partial year (valuation date → year-end)</t>
  </si>
  <si>
    <t>3. FCFF Build (VND bn)</t>
  </si>
  <si>
    <t>Income Statement Drivers</t>
  </si>
  <si>
    <t>Revenue growth %</t>
  </si>
  <si>
    <t>COGS % of revenue</t>
  </si>
  <si>
    <t>Selling expenses % of revenue</t>
  </si>
  <si>
    <t>G&amp;A expenses % of revenue</t>
  </si>
  <si>
    <t>Financial income % of revenue</t>
  </si>
  <si>
    <t>Balance Sheet / WC Drivers</t>
  </si>
  <si>
    <t>Days in AR</t>
  </si>
  <si>
    <t>Days in Inventory</t>
  </si>
  <si>
    <t>Days in AP</t>
  </si>
  <si>
    <t>Other Current Asset % of revenue</t>
  </si>
  <si>
    <t>Other Current Liab % of revenue</t>
  </si>
  <si>
    <t>CapEx % of revenue</t>
  </si>
  <si>
    <t>Financing Drivers</t>
  </si>
  <si>
    <t>Short-term debt (hold flat)</t>
  </si>
  <si>
    <t>Long-term debt (hold flat)</t>
  </si>
  <si>
    <t>Dividend payout ratio</t>
  </si>
  <si>
    <t>Net Income (NI)</t>
  </si>
  <si>
    <t>(+) Depreciation &amp; Amortization</t>
  </si>
  <si>
    <t>(-) Net CapEx</t>
  </si>
  <si>
    <t>(±) Change in Working Capital</t>
  </si>
  <si>
    <t>(+) Interest expense * (1 - T)</t>
  </si>
  <si>
    <t>FCFF</t>
  </si>
  <si>
    <t>Year fraction (from val date to year-end N)</t>
  </si>
  <si>
    <t>(yr)</t>
  </si>
  <si>
    <t>Discount factor = (1+WACC)^t</t>
  </si>
  <si>
    <t>(x)</t>
  </si>
  <si>
    <t>PV of FCFF</t>
  </si>
  <si>
    <t>4. Enterprise / Equity Value (VND bn)</t>
  </si>
  <si>
    <t>Sum of PV of FCFF (explicit)</t>
  </si>
  <si>
    <t>Terminal value (at year T)</t>
  </si>
  <si>
    <t>PV of terminal value</t>
  </si>
  <si>
    <t>Enterprise Value (EV)</t>
  </si>
  <si>
    <t>(+) Excess cash</t>
  </si>
  <si>
    <t>(+) Short-term investments</t>
  </si>
  <si>
    <t>(+) Long-term investments</t>
  </si>
  <si>
    <t>(-) Total debt</t>
  </si>
  <si>
    <t>(-) Minority interest</t>
  </si>
  <si>
    <t>Equity Value</t>
  </si>
  <si>
    <t>Equity Value per share (VND)</t>
  </si>
  <si>
    <t>Current market price (VND)</t>
  </si>
  <si>
    <t>Upside / (Downside)</t>
  </si>
  <si>
    <t>4. Profitability ratios</t>
  </si>
  <si>
    <t>OD_Ratio — Financial Ratios</t>
  </si>
  <si>
    <t>Gross Margin</t>
  </si>
  <si>
    <t>Operating Margin</t>
  </si>
  <si>
    <t>Net Margin</t>
  </si>
  <si>
    <t>Current Ratio</t>
  </si>
  <si>
    <t>Quick Ratio</t>
  </si>
  <si>
    <t>Cash Ratio</t>
  </si>
  <si>
    <t>Debt-to-Assets</t>
  </si>
  <si>
    <t>Debt-to-Equity</t>
  </si>
  <si>
    <t>DSO (AR days)</t>
  </si>
  <si>
    <t>DOH (Inv days)</t>
  </si>
  <si>
    <t>DOP (AP days)</t>
  </si>
  <si>
    <t>FA Turnover</t>
  </si>
  <si>
    <t>Total Asset Turnover</t>
  </si>
  <si>
    <t xml:space="preserve">Lợi thế thương mại </t>
  </si>
  <si>
    <t xml:space="preserve">Goodwill </t>
  </si>
  <si>
    <t>Gain/(loss) from joint ventures</t>
  </si>
  <si>
    <t>Khấu hao TSCĐ, BĐSĐT và phân bổ lợi thế thương mại</t>
  </si>
  <si>
    <t>Depreciation, amortization and goodwill amortization</t>
  </si>
  <si>
    <t>Gross PPE (incl. CIP &amp; Goodwill)</t>
  </si>
  <si>
    <t>(CIP merged into Fixed Assets)</t>
  </si>
  <si>
    <t>YEG VN Equity</t>
  </si>
  <si>
    <t>A. Income Statement Analysis (tỷ VND)</t>
  </si>
  <si>
    <t>Chỉ tiêu</t>
  </si>
  <si>
    <t>Nhận xét</t>
  </si>
  <si>
    <t>Tăng trưởng YoY</t>
  </si>
  <si>
    <t>-</t>
  </si>
  <si>
    <t>Lợi nhuận gộp</t>
  </si>
  <si>
    <t>Lợi nhuận HDKD</t>
  </si>
  <si>
    <t>B. Balance Sheet Analysis (tỷ VND)</t>
  </si>
  <si>
    <t>Tổng tài sản</t>
  </si>
  <si>
    <t>Tiền &amp; tương đương</t>
  </si>
  <si>
    <t>Khoản phải thu</t>
  </si>
  <si>
    <t>DSO (Days)</t>
  </si>
  <si>
    <t>TSCĐ ròng</t>
  </si>
  <si>
    <t>Nợ vay ngắn hạn</t>
  </si>
  <si>
    <t>Nợ vay dài hạn</t>
  </si>
  <si>
    <t>C. Cash Flow Statement Analysis (tỷ VND)</t>
  </si>
  <si>
    <t>CFO</t>
  </si>
  <si>
    <t>CFI</t>
  </si>
  <si>
    <t>CFF</t>
  </si>
  <si>
    <t>D&amp;A</t>
  </si>
  <si>
    <t>CapEx</t>
  </si>
  <si>
    <t>FCF (CFO - CapEx)</t>
  </si>
  <si>
    <t>Hệ số Beta YEG (SLOPE 1Y)</t>
  </si>
  <si>
    <t>Standard Deviation of VN-Index</t>
  </si>
  <si>
    <t>ERP VN = ERP US + CRP VN (CDS, có điều chỉnh)</t>
  </si>
  <si>
    <t>Chên lệch CDS</t>
  </si>
  <si>
    <t>ERP VN = ERP US + CRP VN (Moody's, có điều chỉnh)</t>
  </si>
  <si>
    <t>Chên lệch Moody's Rating</t>
  </si>
  <si>
    <t>MAX of two methods</t>
  </si>
  <si>
    <t>Average of MAX &amp; ERP VN (Damodaran)</t>
  </si>
  <si>
    <t>VN-Index</t>
  </si>
  <si>
    <t>YEG</t>
  </si>
  <si>
    <t>Profitability</t>
  </si>
  <si>
    <t>ROA / ROE</t>
  </si>
  <si>
    <t>Liquidity</t>
  </si>
  <si>
    <t>Solvency</t>
  </si>
  <si>
    <t>Activity (days)</t>
  </si>
  <si>
    <t>Asset Turnover</t>
  </si>
  <si>
    <t>PHÂN TÍCH TÀI CHÍNH YEG 2021A-2031F</t>
  </si>
  <si>
    <t>2026F</t>
  </si>
  <si>
    <t>2027F</t>
  </si>
  <si>
    <t>2028F</t>
  </si>
  <si>
    <t>2029F</t>
  </si>
  <si>
    <t>2030F</t>
  </si>
  <si>
    <t>2031F</t>
  </si>
  <si>
    <t>Bùng nổ 2024-2025 nhờ Premium Content; forecast tăng trưởng 35% → 6%</t>
  </si>
  <si>
    <t>Catalysts: Show It All, HAHA Farmer, ATVNCG concerts, JV SYE Holdings</t>
  </si>
  <si>
    <t>Cải thiện dần nhờ operating leverage và tái sử dụng IP</t>
  </si>
  <si>
    <t>Biên lợi nhuận gộp (%)</t>
  </si>
  <si>
    <t>GPM 13% (2025) → 22% (2031F): production scale + IP reuse</t>
  </si>
  <si>
    <t>Core biz chuyển từ lỗ sang lãi bền vững từ 2027F</t>
  </si>
  <si>
    <t>Giảm dần khi rút đầu tư tài chính để fund Premium Content</t>
  </si>
  <si>
    <t>PBT (LN trước thuế)</t>
  </si>
  <si>
    <t>Lợi nhuận sau thuế (EAT)</t>
  </si>
  <si>
    <t>EAT tăng 5.6x từ 2025→2031F</t>
  </si>
  <si>
    <t>Biên LN ròng (NPM)</t>
  </si>
  <si>
    <t>NPM hồi phục về 11% (2031F)</t>
  </si>
  <si>
    <t>Tăng 2.2x trong 4 năm đầu; mở rộng theo doanh thu</t>
  </si>
  <si>
    <t>Giữ flat 288B trong forecast (cash floor)</t>
  </si>
  <si>
    <t>DSO 291 (2025) → 80 (2031F): cải thiện thu hồi công nợ</t>
  </si>
  <si>
    <t>ST debt làm revolver/balancing plug trong forecast</t>
  </si>
  <si>
    <t>VCSH phục hồi mạnh nhờ retained earnings từ 2026F</t>
  </si>
  <si>
    <t>D/E (Debt/Equity)</t>
  </si>
  <si>
    <t>D/E giảm dần khi VCSH tích lũy lợi nhuận</t>
  </si>
  <si>
    <t>ROE đỉnh ~63% (2025) sau giảm dần khi VCSH dày lên</t>
  </si>
  <si>
    <t>ROA cải thiện từ 2.7% (2025) → 16% (2031F)</t>
  </si>
  <si>
    <t>CFO dương bền vững từ 2026F</t>
  </si>
  <si>
    <t>CFO / EAT</t>
  </si>
  <si>
    <t>Earnings quality cải thiện</t>
  </si>
  <si>
    <t>CFI âm ổn định = CapEx đầu tư thiết bị production</t>
  </si>
  <si>
    <t>CapEx asset-light ~4-6% revenue (media biz)</t>
  </si>
  <si>
    <t>FCF chuyển dương bền vững từ 2026F</t>
  </si>
  <si>
    <t>D. Valuation Summary (DCF Method)</t>
  </si>
  <si>
    <t>Giá trị</t>
  </si>
  <si>
    <t>Nguồn / Logic</t>
  </si>
  <si>
    <t>Lợi suất TPCP VN 10 năm</t>
  </si>
  <si>
    <t>SLOPE 246 ngày YEG vs VN-Index (5/2025-4/2026)</t>
  </si>
  <si>
    <t>Avg(Method 1 CDS, Method 2 Moody's, Damodaran)</t>
  </si>
  <si>
    <t>Cost of Equity (Ke)</t>
  </si>
  <si>
    <t>Rf + Beta × ERP</t>
  </si>
  <si>
    <t>Cost of Debt (Kd, after-tax)</t>
  </si>
  <si>
    <t>Lãi vay bình quân × (1-tax)</t>
  </si>
  <si>
    <t>Weighted: Ke × E/(D+E) + Kd × D/(D+E)</t>
  </si>
  <si>
    <t>Terminal growth (g)</t>
  </si>
  <si>
    <t>GDP VN dài hạn + lạm phát mục tiêu</t>
  </si>
  <si>
    <t>Enterprise Value (tỷ VND)</t>
  </si>
  <si>
    <t>Sum PV(FCFF) + PV(Terminal Value)</t>
  </si>
  <si>
    <t>Equity Value (tỷ VND)</t>
  </si>
  <si>
    <t>EV - Net Debt + Non-operating assets</t>
  </si>
  <si>
    <t>Số cổ phiếu (triệu)</t>
  </si>
  <si>
    <t>Shares outstanding</t>
  </si>
  <si>
    <t>Giá mục tiêu (VND/cp)</t>
  </si>
  <si>
    <t>Equity Value / Shares outstanding</t>
  </si>
  <si>
    <t>Giá hiện tại (24/4/2026)</t>
  </si>
  <si>
    <t>Giá đóng cửa HOSE</t>
  </si>
  <si>
    <t>Upside (%)</t>
  </si>
  <si>
    <t>Khuyến nghị: MUA</t>
  </si>
  <si>
    <t>E. Conclusion (Kết luận &amp; Khuyến nghị)</t>
  </si>
  <si>
    <t>1. Điểm mạnh (Strengths)</t>
  </si>
  <si>
    <t>2. Điểm yếu / Rủi ro (Weaknesses &amp; Risks)</t>
  </si>
  <si>
    <t>3. Định giá &amp; Khuyến nghị (Valuation &amp; Recommendation)</t>
  </si>
  <si>
    <t>Pivot thành công sang Premium Content: ATVNCG (concert + The Movie), Chị Đẹp Đạp Gió, Mẹ Siêu Nhân. Doanh thu 2024 +149% YoY (1,026 tỷ), 2025 +60% (1,639 tỷ) vượt kế hoạch ĐHCĐ.</t>
  </si>
  <si>
    <t>Lợi nhuận đột biến: NPAT 2024 +460%, 2025 +127% (82 tỷ). Kiểm toán EY đảm bảo chất lượng. Thủ tướng khen ngợi, tạo uy tín bền vững.</t>
  </si>
  <si>
    <t>IP hóa nội dung (concert lặp lại, movie spin-off, format MangoTV) đem lại operating leverage - GP% cải thiện từ 13% (2025) lên 22% (2031F).</t>
  </si>
  <si>
    <t>Pipeline 2025-2026 mạnh: Show It All (Techcombank đồng đầu tư), HAHA Farmer, ATVNCG concerts T6/2025, JV SYE Holdings (1/2026).</t>
  </si>
  <si>
    <t>Asset-light model: CapEx chỉ 4-6% revenue, ROA dự kiến tăng từ 2.7% (2025) lên 15% (2031F).</t>
  </si>
  <si>
    <t>Phụ thuộc hit-driven: Doanh thu tập trung concert/show, rủi ro sản phẩm fail (concert không số đủ vé, format không được ưa chuộng).</t>
  </si>
  <si>
    <t>DSO lịch sử cao (290 ngày 2025): khoản phải thu chiếm ~80% doanh thu - rủi ro thanh khoản nếu khách hàng (TV/digital partner) chậm thanh toán.</t>
  </si>
  <si>
    <t>D/E cao trong 2026F (ST debt = balancing plug 1,635 tỷ) - cần theo dõi loại nợ cụ thể, có thể phải phát hành cổ phiếu/phân phối thêm để giảm áp lực.</t>
  </si>
  <si>
    <t>COGS% cao (87% 2025): chi phí sản xuất concert/show đắt. Mức cải thiện phụ thuộc khả năng monetize IP (movie, merchandise, lồng ghép quảng cáo).</t>
  </si>
  <si>
    <t>Thị trường cạnh tranh: VieON, Vingroup-VinDramas, FPT Play, các agency độc lập đều đầu tư reality show. Cần duy trì tốc độ đổi mới format.</t>
  </si>
  <si>
    <t>Rủi ro thương hiệu/quản lý nghệ sĩ: scandal nghệ sĩ có thể ảnh hưởng trực tiếp doanh thu, khoá đặt vé, sponsor.</t>
  </si>
  <si>
    <t>WACC 9.63% phản ánh chi phí vốn hợp lý của doanh nghiệp VN (Beta 0.82, Rf 4.2%, ERP 8.11%). Terminal growth 4% sát với GDP VN dài hạn.</t>
  </si>
  <si>
    <t>Khuyến nghị: MUA (BUY) - cổ phiếu đang được định giá thấp so với tiềm năng growth từ Premium Content. Mục tiêu 12 tháng: ~31,000 VND.</t>
  </si>
  <si>
    <t>Catalysts ngắn hạn: KQKD Q2/2026 (concerts T6), công bố deal SYE Holdings, ra mắt Show It All / HAHA Farmer.</t>
  </si>
  <si>
    <t>Stop-loss: 8,500 VND (-15%) nếu doanh thu Q1-Q2/2026 không đạt 30% kế hoạch năm.</t>
  </si>
  <si>
    <t>4. Company Profile</t>
  </si>
  <si>
    <t>Tên đầy đủ</t>
  </si>
  <si>
    <t>Công ty Cổ phần Tập đoàn Yeah1</t>
  </si>
  <si>
    <t>Mã CK / Sàn</t>
  </si>
  <si>
    <t>YEG / HOSE</t>
  </si>
  <si>
    <t>Ngày thành lập</t>
  </si>
  <si>
    <t>Ngày đổi tên Yeah1</t>
  </si>
  <si>
    <t>Ngày niêm yết HOSE</t>
  </si>
  <si>
    <t>26/06/2018</t>
  </si>
  <si>
    <t>Vốn điều lệ hiện tại (tỷ VND)</t>
  </si>
  <si>
    <t>Lĩnh vực hoạt động chính</t>
  </si>
  <si>
    <t>Quảng cáo truyền hình; quảng cáo nền tảng kỹ thuật số (Facebook/YouTube/Google); đại lý mua bán quảng cáo &amp; bản quyền nội dung; sản xuất Premium Content (concert, reality show, phim)</t>
  </si>
  <si>
    <t>Sở hữu kênh truyền hình</t>
  </si>
  <si>
    <t>4 kênh pay-TV: Yeah1 TV, Yeah1 Family, iMovie TV, UNI Channel + đại lý cho 16 đài TV</t>
  </si>
  <si>
    <t>Định hướng chiến lược</t>
  </si>
  <si>
    <t>Tái cấu trúc: dừng sản xuất phim chiếu rạp (Yeah1 CMG); tập trung Premium Content - concert, reality show (ATVNCG, Chị Đẹp Đạp Gió, Show It All, HAHA Farmer); kênh O&amp;O trên Facebook/YouTube/Google</t>
  </si>
  <si>
    <t>Show nổi bật 2024-2025</t>
  </si>
  <si>
    <t>Anh Trai Vượt Ngàn Chông Gai (ATVNCG) - 2 concert sold out 2024 + 2 concert T6/2025; Chị Đẹp Đạp Gió; Mẹ Siêu Nhân; ATVNCG The Movie (cháy vé 1 phút)</t>
  </si>
  <si>
    <t>Đối tác chiến lược</t>
  </si>
  <si>
    <t>Techcombank (đồng đầu tư concert + Show It All); MangoTV TQ (license format Show It All, HAHA Farmer); EY VN (kiểm toán)</t>
  </si>
  <si>
    <t>Vốn hóa hiện tại (tỷ VND)</t>
  </si>
  <si>
    <t>Giá hiện tại (VND/CP)</t>
  </si>
  <si>
    <t>SLCP lưu hành (triệu CP)</t>
  </si>
  <si>
    <t>5. Sensitivity Analysis — Equity Value per Share &amp; Upside / (Downside)</t>
  </si>
  <si>
    <t>5a. WACC × Terminal growth (g) — Upside / (Downside)</t>
  </si>
  <si>
    <t>WACC \ g</t>
  </si>
  <si>
    <t>5b. Beta × Equity Risk Premium (ERP) — Upside / (Downside)</t>
  </si>
  <si>
    <t>Beta \ ERP</t>
  </si>
  <si>
    <t>6. Scenario Analysis</t>
  </si>
  <si>
    <t>Assumption</t>
  </si>
  <si>
    <t>Bear</t>
  </si>
  <si>
    <t>Base</t>
  </si>
  <si>
    <t>Bull</t>
  </si>
  <si>
    <t>ERP</t>
  </si>
  <si>
    <t>FCFF adjustment (±%)</t>
  </si>
  <si>
    <t>Output</t>
  </si>
  <si>
    <t>PV of explicit FCFF (VND bn)</t>
  </si>
  <si>
    <t>Enterprise Value (VND bn)</t>
  </si>
  <si>
    <t>(+/-) Net non-operating items</t>
  </si>
  <si>
    <t>Active scenario →</t>
  </si>
  <si>
    <t>Pre-tax Kd</t>
  </si>
  <si>
    <t>PV of Terminal Value (VND bn)</t>
  </si>
  <si>
    <t>7. Input Sensitivity — Elasticity to Equity Value per Share</t>
  </si>
  <si>
    <t>Each input shocked ±10% holding others constant. Elasticity = % Δ price / 10%.</t>
  </si>
  <si>
    <t>Input</t>
  </si>
  <si>
    <t>Base value</t>
  </si>
  <si>
    <t>-10% case</t>
  </si>
  <si>
    <t>+10% case</t>
  </si>
  <si>
    <t>Price -10%</t>
  </si>
  <si>
    <t>Price +10%</t>
  </si>
  <si>
    <t>% Δ (-10%)</t>
  </si>
  <si>
    <t>% Δ (+10%)</t>
  </si>
  <si>
    <t>Elasticity</t>
  </si>
  <si>
    <t>Range (abs)</t>
  </si>
  <si>
    <t>FCFF stream (±10%)</t>
  </si>
  <si>
    <t>Cơ cấu sở hữu &amp; công ty con — YEG</t>
  </si>
  <si>
    <t>1. Cơ cấu sở hữu (Top shareholders)</t>
  </si>
  <si>
    <t>Cổ đông</t>
  </si>
  <si>
    <t>Tỷ lệ (%)</t>
  </si>
  <si>
    <t>PYN Elite Fund (Non-Ucits)</t>
  </si>
  <si>
    <t>Lê Phương Thảo</t>
  </si>
  <si>
    <t>Chế Đoàn Viên</t>
  </si>
  <si>
    <t>Nguyễn Viết Cường</t>
  </si>
  <si>
    <t>Đào Phúc Trí</t>
  </si>
  <si>
    <t>Ancla Asset Limited</t>
  </si>
  <si>
    <t>Ancla Assets Limited</t>
  </si>
  <si>
    <t>Phạm Minh Tiến</t>
  </si>
  <si>
    <t>Khác</t>
  </si>
  <si>
    <t>Tổng</t>
  </si>
  <si>
    <t>Phân loại theo quốc tịch</t>
  </si>
  <si>
    <t>Sở hữu nước ngoài</t>
  </si>
  <si>
    <t>Sở hữu khác (trong nước)</t>
  </si>
  <si>
    <t>2. Công ty con (9)</t>
  </si>
  <si>
    <t>Đơn vị</t>
  </si>
  <si>
    <t>Vốn điều lệ (tỷ đ)</t>
  </si>
  <si>
    <t>Vốn góp (tỷ đ)</t>
  </si>
  <si>
    <t>Tỷ lệ sở hữu (%)</t>
  </si>
  <si>
    <t>CTCP YAG Entertainment</t>
  </si>
  <si>
    <t>CTCP Giải trí Yeah1</t>
  </si>
  <si>
    <t>CTCP Phát triển Thương hiệu Yeah1</t>
  </si>
  <si>
    <t>CTCP Giải trí Rồng</t>
  </si>
  <si>
    <t>CTCP NVU</t>
  </si>
  <si>
    <t>CTCP Thương mại Thế giới Phim</t>
  </si>
  <si>
    <t>CTCP Truyền thông Trực tuyến NetLink</t>
  </si>
  <si>
    <t>CTCP Đầu tư và Sản xuất Phim Yeah1</t>
  </si>
  <si>
    <t>CTCP Truyền thông ON+</t>
  </si>
  <si>
    <t>CTCP Công nghệ Tự động Kolorlife</t>
  </si>
  <si>
    <t>CT liên kết</t>
  </si>
  <si>
    <t>3.1 FCFF Streams</t>
  </si>
  <si>
    <t>D&amp;A (VND bn) — fixed asset-light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</si>
</sst>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(* #,##0.00_);_(* \(#,##0.00\);_(* &quot;-&quot;??_);_(@_)"/>
    <numFmt numFmtId="164" formatCode="#,##0_ ;\-#,##0\ ;\-;@"/>
    <numFmt numFmtId="165" formatCode="_(* #,##0.0_);_(* \(#,##0.0\);_(* &quot;-&quot;??_);_(@_)"/>
    <numFmt numFmtId="166" formatCode="0.0%"/>
    <numFmt numFmtId="167" formatCode="_(* #,##0.0_);_(* \(#,##0.0\);_(* &quot;-&quot;?_);_(@_)"/>
    <numFmt numFmtId="168" formatCode="[$-409]mmm\-yy;@"/>
    <numFmt numFmtId="169" formatCode="_(* #,##0.00000_);_(* \(#,##0.00000\);_(* &quot;-&quot;??_);_(@_)"/>
    <numFmt numFmtId="170" formatCode="_(* #,##0_);_(* \(#,##0\);_(* &quot;-&quot;??_);_(@_)"/>
    <numFmt numFmtId="171" formatCode="yyyy\-mm\-dd"/>
    <numFmt numFmtId="172" formatCode="0.000"/>
    <numFmt numFmtId="173" formatCode="#,##0.0"/>
    <numFmt numFmtId="174" formatCode="0.0"/>
    <numFmt numFmtId="175" formatCode="#,##0.0;\(#,##0.0\);\-"/>
    <numFmt numFmtId="176" formatCode="#,##0.00,,,;\(#,##0.00,,,\);\-"/>
    <numFmt numFmtId="177" formatCode="#,##0.00;\(#,##0.00\);\-"/>
    <numFmt numFmtId="178" formatCode="0.0000"/>
    <numFmt numFmtId="179" formatCode="#,##0.000"/>
    <numFmt numFmtId="180" formatCode="#,##0.00,"/>
    <numFmt numFmtId="181" formatCode="#,##0.000,,"/>
    <numFmt numFmtId="182" formatCode="0.00&quot;x&quot;"/>
    <numFmt numFmtId="183" formatCode="&quot;⚠ +&quot;#,##0;&quot;⚠ -&quot;#,##0;&quot;✓ OK&quot;"/>
    <numFmt numFmtId="184" formatCode="#,##0;\(#,##0\);\-"/>
    <numFmt numFmtId="185" formatCode="dd/mm/yyyy"/>
    <numFmt numFmtId="186" formatCode="0.0&quot;x&quot;"/>
    <numFmt numFmtId="187" formatCode="0.0%;\(0.0%\);\-"/>
  </numFmts>
  <fonts count="8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i/>
      <sz val="10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0"/>
      <color rgb="FFFF0000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rgb="FFFF0000"/>
      <name val="Times New Roman"/>
      <family val="1"/>
    </font>
    <font>
      <sz val="10"/>
      <color indexed="16"/>
      <name val="Credit Suisse Type Roman"/>
      <family val="2"/>
    </font>
    <font>
      <b/>
      <sz val="10"/>
      <color theme="6"/>
      <name val="Times New Roman"/>
      <family val="1"/>
    </font>
    <font>
      <sz val="10"/>
      <color theme="6"/>
      <name val="Times New Roman"/>
      <family val="1"/>
    </font>
    <font>
      <sz val="12"/>
      <color theme="1"/>
      <name val="Times New Roman"/>
      <family val="1"/>
    </font>
    <font>
      <i/>
      <sz val="10"/>
      <color theme="0" tint="-0.499984740745262"/>
      <name val="Times New Roman"/>
      <family val="1"/>
    </font>
    <font>
      <b/>
      <sz val="10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16"/>
      <color theme="1"/>
      <name val="Times New Roman"/>
      <family val="1"/>
    </font>
    <font>
      <b/>
      <sz val="12"/>
      <color rgb="FFFF0000"/>
      <name val="Times New Roman"/>
      <family val="1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FFFF"/>
      <name val="Calibri"/>
      <family val="2"/>
      <scheme val="minor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rgb="FF006100"/>
      <name val="Calibri"/>
    </font>
    <font>
      <sz val="11"/>
      <color rgb="FF006100"/>
      <name val="Calibri"/>
    </font>
    <font>
      <i/>
      <sz val="11"/>
      <color rgb="FF000000"/>
      <name val="Calibri"/>
    </font>
    <font>
      <i/>
      <sz val="11"/>
      <color rgb="FF006100"/>
      <name val="Calibri"/>
    </font>
    <font>
      <b/>
      <i/>
      <sz val="11"/>
      <color rgb="FF1F4E78"/>
      <name val="Calibri"/>
    </font>
    <font>
      <b/>
      <i/>
      <sz val="11"/>
      <color rgb="FF000000"/>
      <name val="Calibri"/>
    </font>
    <font>
      <b/>
      <i/>
      <sz val="11"/>
      <color rgb="FF006100"/>
      <name val="Calibri"/>
    </font>
    <font>
      <b/>
      <sz val="11"/>
      <color rgb="FF1F4E78"/>
      <name val="Calibri"/>
    </font>
    <font>
      <b/>
      <sz val="14"/>
      <color rgb="FFFFFFFF"/>
      <name val="Calibri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b/>
      <sz val="11"/>
      <color rgb="FF000000"/>
      <name val="Calibri"/>
      <scheme val="minor"/>
    </font>
    <font>
      <b/>
      <sz val="11"/>
      <color rgb="FF0000FF"/>
      <name val="Calibri"/>
      <scheme val="minor"/>
    </font>
    <font>
      <b/>
      <sz val="11"/>
      <color rgb="FF1F4E78"/>
      <name val="Calibri"/>
      <scheme val="minor"/>
    </font>
    <font>
      <sz val="11"/>
      <color rgb="FF006100"/>
      <name val="Calibri"/>
      <scheme val="minor"/>
    </font>
    <font>
      <sz val="11"/>
      <color rgb="FF0000FF"/>
      <name val="Calibri"/>
      <scheme val="minor"/>
    </font>
    <font>
      <b/>
      <sz val="11"/>
      <color rgb="FFFFFFFF"/>
      <name val="Calibri"/>
      <scheme val="minor"/>
    </font>
    <font>
      <b/>
      <sz val="11"/>
      <color theme="1"/>
      <name val="Calibri"/>
      <scheme val="minor"/>
    </font>
    <font>
      <i/>
      <sz val="11"/>
      <color theme="1"/>
      <name val="Calibri"/>
      <scheme val="minor"/>
    </font>
    <font>
      <b/>
      <i/>
      <sz val="11"/>
      <color theme="1"/>
      <name val="Calibri"/>
      <scheme val="minor"/>
    </font>
    <font>
      <b/>
      <sz val="11"/>
      <color rgb="FF008000"/>
      <name val="Calibri"/>
      <scheme val="minor"/>
    </font>
    <font>
      <b/>
      <sz val="11"/>
      <color theme="1"/>
      <name val="Calibri"/>
    </font>
    <font>
      <b/>
      <sz val="11"/>
      <color rgb="FF008000"/>
      <name val="Calibri"/>
    </font>
    <font>
      <i/>
      <sz val="11"/>
      <color theme="1"/>
      <name val="Calibri"/>
    </font>
    <font>
      <b/>
      <i/>
      <sz val="11"/>
      <color rgb="FF1F4E78"/>
      <name val="Calibri"/>
      <scheme val="minor"/>
    </font>
    <font>
      <b/>
      <i/>
      <sz val="11"/>
      <color rgb="FFFFFFFF"/>
      <name val="Calibri"/>
      <scheme val="minor"/>
    </font>
    <font>
      <b/>
      <sz val="11"/>
      <color rgb="FF404040"/>
      <name val="Calibri"/>
    </font>
    <font>
      <i/>
      <sz val="11"/>
      <color rgb="FFFF0000"/>
      <name val="Calibri"/>
    </font>
    <font>
      <b/>
      <i/>
      <sz val="11"/>
      <color rgb="FFFF0000"/>
      <name val="Calibri"/>
    </font>
    <font>
      <b/>
      <i/>
      <sz val="11"/>
      <color theme="1"/>
      <name val="Calibri"/>
    </font>
    <font>
      <i/>
      <sz val="11"/>
      <color theme="6"/>
      <name val="Calibri"/>
    </font>
    <font>
      <b/>
      <sz val="11"/>
      <color rgb="FFFF0000"/>
      <name val="Calibri"/>
    </font>
    <font>
      <i/>
      <sz val="11"/>
      <color rgb="FF0000FF"/>
      <name val="Calibri"/>
    </font>
    <font>
      <sz val="11"/>
      <color rgb="FF0000FF"/>
      <name val="Calibri"/>
    </font>
    <font>
      <b/>
      <sz val="11"/>
      <color rgb="FF0000FF"/>
      <name val="Calibri"/>
    </font>
    <font>
      <sz val="11"/>
      <color rgb="FFFF0000"/>
      <name val="Calibri"/>
    </font>
    <font>
      <b/>
      <sz val="11"/>
      <name val="Calibri"/>
    </font>
    <font>
      <sz val="11"/>
      <name val="Calibri"/>
    </font>
    <font>
      <u/>
      <sz val="11"/>
      <color theme="1"/>
      <name val="Calibri"/>
    </font>
    <font>
      <i/>
      <sz val="11"/>
      <color rgb="FF808080"/>
      <name val="Calibri"/>
    </font>
    <font>
      <b/>
      <sz val="12"/>
      <color rgb="FFFFFFFF"/>
      <name val="Calibri"/>
      <scheme val="minor"/>
    </font>
    <font>
      <sz val="11"/>
      <color rgb="FF595959"/>
      <name val="Calibri"/>
      <family val="2"/>
      <scheme val="minor"/>
    </font>
    <font>
      <b/>
      <sz val="14"/>
      <color rgb="FFFFFFFF"/>
      <name val="Times New Roman"/>
      <family val="1"/>
    </font>
    <font>
      <b/>
      <sz val="10"/>
      <color rgb="FF1F4E78"/>
      <name val="Times New Roman"/>
      <family val="1"/>
    </font>
    <font>
      <b/>
      <sz val="10"/>
      <color rgb="FFFFFFFF"/>
      <name val="Times New Roman"/>
      <family val="1"/>
    </font>
    <font>
      <b/>
      <i/>
      <sz val="10"/>
      <color rgb="FF1F4E78"/>
      <name val="Times New Roman"/>
      <family val="1"/>
    </font>
    <font>
      <b/>
      <i/>
      <sz val="10"/>
      <color rgb="FFFFFFFF"/>
      <name val="Times New Roman"/>
      <family val="1"/>
    </font>
    <font>
      <sz val="11"/>
      <color rgb="FF595959"/>
      <name val="Calibri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93C47D"/>
        <bgColor indexed="64"/>
      </patternFill>
    </fill>
  </fills>
  <borders count="6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 style="thin">
        <color rgb="FF808080"/>
      </top>
      <bottom/>
      <diagonal/>
    </border>
    <border>
      <left/>
      <right style="thick">
        <color indexed="64"/>
      </right>
      <top style="thin">
        <color rgb="FF808080"/>
      </top>
      <bottom/>
      <diagonal/>
    </border>
    <border>
      <left/>
      <right style="thin">
        <color indexed="64"/>
      </right>
      <top style="medium">
        <color rgb="FF808080"/>
      </top>
      <bottom/>
      <diagonal/>
    </border>
    <border>
      <left/>
      <right/>
      <top style="medium">
        <color rgb="FF808080"/>
      </top>
      <bottom/>
      <diagonal/>
    </border>
    <border>
      <left/>
      <right style="thick">
        <color indexed="64"/>
      </right>
      <top style="medium">
        <color rgb="FF808080"/>
      </top>
      <bottom/>
      <diagonal/>
    </border>
    <border>
      <left style="thin">
        <color indexed="64"/>
      </left>
      <right style="thin">
        <color indexed="64"/>
      </right>
      <top style="medium">
        <color rgb="FF808080"/>
      </top>
      <bottom/>
      <diagonal/>
    </border>
    <border>
      <left/>
      <right style="thin">
        <color indexed="64"/>
      </right>
      <top style="thin">
        <color rgb="FF808080"/>
      </top>
      <bottom/>
      <diagonal/>
    </border>
    <border>
      <left style="thin">
        <color indexed="64"/>
      </left>
      <right style="thin">
        <color indexed="64"/>
      </right>
      <top style="thin">
        <color rgb="FF808080"/>
      </top>
      <bottom/>
      <diagonal/>
    </border>
    <border>
      <left/>
      <right style="medium">
        <color rgb="FF1F4E78"/>
      </right>
      <top/>
      <bottom/>
      <diagonal/>
    </border>
    <border>
      <left/>
      <right style="medium">
        <color rgb="FF1F4E78"/>
      </right>
      <top/>
      <bottom style="medium">
        <color auto="1"/>
      </bottom>
      <diagonal/>
    </border>
    <border>
      <left/>
      <right style="medium">
        <color rgb="FF1F4E78"/>
      </right>
      <top style="thin">
        <color rgb="FF808080"/>
      </top>
      <bottom/>
      <diagonal/>
    </border>
    <border>
      <left/>
      <right style="medium">
        <color rgb="FF1F4E78"/>
      </right>
      <top/>
      <bottom style="thick">
        <color indexed="64"/>
      </bottom>
      <diagonal/>
    </border>
    <border>
      <left/>
      <right style="medium">
        <color rgb="FF1F4E78"/>
      </right>
      <top style="medium">
        <color rgb="FF80808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/>
  </cellStyleXfs>
  <cellXfs count="68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5" fontId="2" fillId="0" borderId="0" xfId="1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0" fontId="2" fillId="0" borderId="0" xfId="2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165" fontId="2" fillId="0" borderId="0" xfId="1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5" fontId="3" fillId="0" borderId="0" xfId="1" applyNumberFormat="1" applyFont="1" applyAlignment="1">
      <alignment vertical="center"/>
    </xf>
    <xf numFmtId="0" fontId="12" fillId="0" borderId="0" xfId="0" applyFont="1" applyAlignment="1">
      <alignment vertical="center"/>
    </xf>
    <xf numFmtId="165" fontId="8" fillId="0" borderId="0" xfId="1" applyNumberFormat="1" applyFont="1" applyAlignment="1">
      <alignment vertical="center"/>
    </xf>
    <xf numFmtId="0" fontId="4" fillId="0" borderId="0" xfId="0" applyFont="1" applyAlignment="1">
      <alignment vertical="center"/>
    </xf>
    <xf numFmtId="165" fontId="4" fillId="0" borderId="0" xfId="1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2" fillId="0" borderId="22" xfId="0" applyFont="1" applyBorder="1" applyAlignment="1">
      <alignment vertical="center"/>
    </xf>
    <xf numFmtId="43" fontId="2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19" xfId="0" applyFont="1" applyBorder="1" applyAlignment="1">
      <alignment horizontal="center" vertical="center"/>
    </xf>
    <xf numFmtId="165" fontId="2" fillId="2" borderId="0" xfId="1" applyNumberFormat="1" applyFont="1" applyFill="1" applyAlignment="1">
      <alignment vertical="center"/>
    </xf>
    <xf numFmtId="165" fontId="2" fillId="6" borderId="13" xfId="1" applyNumberFormat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15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43" fontId="4" fillId="0" borderId="0" xfId="1" applyFont="1" applyAlignment="1">
      <alignment vertical="center"/>
    </xf>
    <xf numFmtId="43" fontId="16" fillId="0" borderId="0" xfId="1" applyFont="1" applyAlignment="1">
      <alignment vertical="center"/>
    </xf>
    <xf numFmtId="43" fontId="5" fillId="0" borderId="0" xfId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43" fontId="20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165" fontId="13" fillId="0" borderId="0" xfId="1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27" fillId="0" borderId="0" xfId="0" applyFont="1"/>
    <xf numFmtId="0" fontId="23" fillId="0" borderId="0" xfId="0" applyFont="1"/>
    <xf numFmtId="167" fontId="0" fillId="0" borderId="0" xfId="0" applyNumberFormat="1"/>
    <xf numFmtId="0" fontId="28" fillId="0" borderId="0" xfId="0" applyFont="1"/>
    <xf numFmtId="170" fontId="2" fillId="0" borderId="0" xfId="0" applyNumberFormat="1" applyFont="1" applyAlignment="1">
      <alignment vertical="center"/>
    </xf>
    <xf numFmtId="43" fontId="0" fillId="0" borderId="0" xfId="0" applyNumberFormat="1"/>
    <xf numFmtId="170" fontId="0" fillId="0" borderId="0" xfId="0" applyNumberFormat="1"/>
    <xf numFmtId="0" fontId="26" fillId="0" borderId="0" xfId="0" applyFont="1" applyAlignment="1">
      <alignment vertical="center"/>
    </xf>
    <xf numFmtId="165" fontId="0" fillId="0" borderId="0" xfId="0" applyNumberFormat="1"/>
    <xf numFmtId="0" fontId="17" fillId="0" borderId="0" xfId="0" applyFont="1" applyAlignment="1">
      <alignment vertical="center"/>
    </xf>
    <xf numFmtId="0" fontId="31" fillId="13" borderId="0" xfId="0" applyFont="1" applyFill="1" applyAlignment="1">
      <alignment horizontal="center"/>
    </xf>
    <xf numFmtId="0" fontId="31" fillId="13" borderId="0" xfId="0" applyFont="1" applyFill="1" applyAlignment="1">
      <alignment horizontal="left"/>
    </xf>
    <xf numFmtId="187" fontId="0" fillId="0" borderId="0" xfId="0" applyNumberFormat="1" applyAlignment="1">
      <alignment horizontal="right"/>
    </xf>
    <xf numFmtId="10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0" fontId="32" fillId="17" borderId="0" xfId="0" applyFont="1" applyFill="1" applyAlignment="1">
      <alignment horizontal="left" vertical="center"/>
    </xf>
    <xf numFmtId="0" fontId="32" fillId="17" borderId="19" xfId="0" applyFont="1" applyFill="1" applyBorder="1" applyAlignment="1">
      <alignment horizontal="center" vertical="center"/>
    </xf>
    <xf numFmtId="0" fontId="32" fillId="17" borderId="0" xfId="0" applyFont="1" applyFill="1" applyAlignment="1">
      <alignment vertical="center"/>
    </xf>
    <xf numFmtId="0" fontId="32" fillId="17" borderId="13" xfId="0" applyFont="1" applyFill="1" applyBorder="1" applyAlignment="1">
      <alignment vertical="center"/>
    </xf>
    <xf numFmtId="0" fontId="33" fillId="13" borderId="0" xfId="0" applyFont="1" applyFill="1" applyAlignment="1">
      <alignment horizontal="left" vertical="center"/>
    </xf>
    <xf numFmtId="0" fontId="33" fillId="13" borderId="19" xfId="0" applyFont="1" applyFill="1" applyBorder="1" applyAlignment="1">
      <alignment horizontal="center" vertical="center"/>
    </xf>
    <xf numFmtId="0" fontId="33" fillId="13" borderId="0" xfId="0" applyFont="1" applyFill="1" applyAlignment="1">
      <alignment horizontal="center" vertical="center"/>
    </xf>
    <xf numFmtId="0" fontId="34" fillId="18" borderId="35" xfId="0" applyFont="1" applyFill="1" applyBorder="1" applyAlignment="1">
      <alignment horizontal="left" vertical="center"/>
    </xf>
    <xf numFmtId="0" fontId="34" fillId="18" borderId="36" xfId="0" applyFont="1" applyFill="1" applyBorder="1" applyAlignment="1">
      <alignment horizontal="center" vertical="center"/>
    </xf>
    <xf numFmtId="176" fontId="35" fillId="18" borderId="35" xfId="1" applyNumberFormat="1" applyFont="1" applyFill="1" applyBorder="1" applyAlignment="1">
      <alignment vertical="center"/>
    </xf>
    <xf numFmtId="176" fontId="35" fillId="18" borderId="44" xfId="1" applyNumberFormat="1" applyFont="1" applyFill="1" applyBorder="1" applyAlignment="1">
      <alignment vertical="center"/>
    </xf>
    <xf numFmtId="176" fontId="34" fillId="18" borderId="34" xfId="1" applyNumberFormat="1" applyFont="1" applyFill="1" applyBorder="1" applyAlignment="1">
      <alignment vertical="center"/>
    </xf>
    <xf numFmtId="176" fontId="34" fillId="18" borderId="37" xfId="1" applyNumberFormat="1" applyFont="1" applyFill="1" applyBorder="1" applyAlignment="1">
      <alignment vertical="center"/>
    </xf>
    <xf numFmtId="0" fontId="34" fillId="18" borderId="0" xfId="0" applyFont="1" applyFill="1" applyAlignment="1">
      <alignment horizontal="left" vertical="center"/>
    </xf>
    <xf numFmtId="0" fontId="34" fillId="18" borderId="15" xfId="0" applyFont="1" applyFill="1" applyBorder="1" applyAlignment="1">
      <alignment horizontal="center" vertical="center"/>
    </xf>
    <xf numFmtId="176" fontId="35" fillId="18" borderId="0" xfId="1" applyNumberFormat="1" applyFont="1" applyFill="1" applyAlignment="1">
      <alignment vertical="center"/>
    </xf>
    <xf numFmtId="176" fontId="35" fillId="18" borderId="40" xfId="1" applyNumberFormat="1" applyFont="1" applyFill="1" applyBorder="1" applyAlignment="1">
      <alignment vertical="center"/>
    </xf>
    <xf numFmtId="176" fontId="34" fillId="18" borderId="6" xfId="1" applyNumberFormat="1" applyFont="1" applyFill="1" applyBorder="1" applyAlignment="1">
      <alignment vertical="center"/>
    </xf>
    <xf numFmtId="176" fontId="34" fillId="18" borderId="13" xfId="1" applyNumberFormat="1" applyFont="1" applyFill="1" applyBorder="1" applyAlignment="1">
      <alignment vertical="center"/>
    </xf>
    <xf numFmtId="0" fontId="32" fillId="17" borderId="15" xfId="0" applyFont="1" applyFill="1" applyBorder="1" applyAlignment="1">
      <alignment horizontal="center" vertical="center"/>
    </xf>
    <xf numFmtId="176" fontId="36" fillId="17" borderId="0" xfId="1" applyNumberFormat="1" applyFont="1" applyFill="1" applyAlignment="1">
      <alignment vertical="center"/>
    </xf>
    <xf numFmtId="176" fontId="36" fillId="17" borderId="40" xfId="1" applyNumberFormat="1" applyFont="1" applyFill="1" applyBorder="1" applyAlignment="1">
      <alignment vertical="center"/>
    </xf>
    <xf numFmtId="176" fontId="32" fillId="17" borderId="6" xfId="1" applyNumberFormat="1" applyFont="1" applyFill="1" applyBorder="1" applyAlignment="1">
      <alignment vertical="center"/>
    </xf>
    <xf numFmtId="176" fontId="32" fillId="17" borderId="13" xfId="1" applyNumberFormat="1" applyFont="1" applyFill="1" applyBorder="1" applyAlignment="1">
      <alignment vertical="center"/>
    </xf>
    <xf numFmtId="0" fontId="34" fillId="18" borderId="32" xfId="0" applyFont="1" applyFill="1" applyBorder="1" applyAlignment="1">
      <alignment horizontal="left" vertical="center"/>
    </xf>
    <xf numFmtId="0" fontId="34" fillId="18" borderId="33" xfId="0" applyFont="1" applyFill="1" applyBorder="1" applyAlignment="1">
      <alignment horizontal="center" vertical="center"/>
    </xf>
    <xf numFmtId="176" fontId="35" fillId="18" borderId="32" xfId="1" applyNumberFormat="1" applyFont="1" applyFill="1" applyBorder="1" applyAlignment="1">
      <alignment vertical="center"/>
    </xf>
    <xf numFmtId="176" fontId="35" fillId="18" borderId="42" xfId="1" applyNumberFormat="1" applyFont="1" applyFill="1" applyBorder="1" applyAlignment="1">
      <alignment vertical="center"/>
    </xf>
    <xf numFmtId="176" fontId="34" fillId="18" borderId="38" xfId="1" applyNumberFormat="1" applyFont="1" applyFill="1" applyBorder="1" applyAlignment="1">
      <alignment vertical="center"/>
    </xf>
    <xf numFmtId="176" fontId="34" fillId="18" borderId="39" xfId="1" applyNumberFormat="1" applyFont="1" applyFill="1" applyBorder="1" applyAlignment="1">
      <alignment vertical="center"/>
    </xf>
    <xf numFmtId="0" fontId="37" fillId="17" borderId="0" xfId="0" applyFont="1" applyFill="1" applyAlignment="1">
      <alignment horizontal="left" vertical="center"/>
    </xf>
    <xf numFmtId="0" fontId="37" fillId="17" borderId="15" xfId="0" applyFont="1" applyFill="1" applyBorder="1" applyAlignment="1">
      <alignment horizontal="center" vertical="center"/>
    </xf>
    <xf numFmtId="176" fontId="38" fillId="17" borderId="0" xfId="1" applyNumberFormat="1" applyFont="1" applyFill="1" applyAlignment="1">
      <alignment vertical="center"/>
    </xf>
    <xf numFmtId="176" fontId="38" fillId="17" borderId="40" xfId="1" applyNumberFormat="1" applyFont="1" applyFill="1" applyBorder="1" applyAlignment="1">
      <alignment vertical="center"/>
    </xf>
    <xf numFmtId="176" fontId="37" fillId="17" borderId="6" xfId="1" applyNumberFormat="1" applyFont="1" applyFill="1" applyBorder="1" applyAlignment="1">
      <alignment vertical="center"/>
    </xf>
    <xf numFmtId="176" fontId="37" fillId="17" borderId="13" xfId="1" applyNumberFormat="1" applyFont="1" applyFill="1" applyBorder="1" applyAlignment="1">
      <alignment vertical="center"/>
    </xf>
    <xf numFmtId="0" fontId="39" fillId="16" borderId="0" xfId="0" applyFont="1" applyFill="1" applyAlignment="1">
      <alignment horizontal="left" vertical="center"/>
    </xf>
    <xf numFmtId="0" fontId="40" fillId="16" borderId="15" xfId="0" applyFont="1" applyFill="1" applyBorder="1" applyAlignment="1">
      <alignment horizontal="center" vertical="center"/>
    </xf>
    <xf numFmtId="176" fontId="41" fillId="16" borderId="0" xfId="1" applyNumberFormat="1" applyFont="1" applyFill="1" applyAlignment="1">
      <alignment vertical="center"/>
    </xf>
    <xf numFmtId="176" fontId="41" fillId="16" borderId="40" xfId="1" applyNumberFormat="1" applyFont="1" applyFill="1" applyBorder="1" applyAlignment="1">
      <alignment vertical="center"/>
    </xf>
    <xf numFmtId="176" fontId="40" fillId="16" borderId="6" xfId="1" applyNumberFormat="1" applyFont="1" applyFill="1" applyBorder="1" applyAlignment="1">
      <alignment vertical="center"/>
    </xf>
    <xf numFmtId="176" fontId="40" fillId="16" borderId="13" xfId="1" applyNumberFormat="1" applyFont="1" applyFill="1" applyBorder="1" applyAlignment="1">
      <alignment vertical="center"/>
    </xf>
    <xf numFmtId="0" fontId="42" fillId="14" borderId="0" xfId="0" applyFont="1" applyFill="1" applyAlignment="1">
      <alignment horizontal="left" vertical="center"/>
    </xf>
    <xf numFmtId="0" fontId="42" fillId="14" borderId="15" xfId="0" applyFont="1" applyFill="1" applyBorder="1" applyAlignment="1">
      <alignment horizontal="center" vertical="center"/>
    </xf>
    <xf numFmtId="176" fontId="42" fillId="14" borderId="0" xfId="1" applyNumberFormat="1" applyFont="1" applyFill="1" applyAlignment="1">
      <alignment vertical="center"/>
    </xf>
    <xf numFmtId="176" fontId="42" fillId="14" borderId="40" xfId="1" applyNumberFormat="1" applyFont="1" applyFill="1" applyBorder="1" applyAlignment="1">
      <alignment vertical="center"/>
    </xf>
    <xf numFmtId="176" fontId="42" fillId="14" borderId="6" xfId="1" applyNumberFormat="1" applyFont="1" applyFill="1" applyBorder="1" applyAlignment="1">
      <alignment vertical="center"/>
    </xf>
    <xf numFmtId="176" fontId="42" fillId="14" borderId="13" xfId="1" applyNumberFormat="1" applyFont="1" applyFill="1" applyBorder="1" applyAlignment="1">
      <alignment vertical="center"/>
    </xf>
    <xf numFmtId="165" fontId="36" fillId="17" borderId="0" xfId="1" applyNumberFormat="1" applyFont="1" applyFill="1" applyAlignment="1">
      <alignment vertical="center"/>
    </xf>
    <xf numFmtId="165" fontId="36" fillId="17" borderId="40" xfId="1" applyNumberFormat="1" applyFont="1" applyFill="1" applyBorder="1" applyAlignment="1">
      <alignment vertical="center"/>
    </xf>
    <xf numFmtId="165" fontId="32" fillId="17" borderId="6" xfId="1" applyNumberFormat="1" applyFont="1" applyFill="1" applyBorder="1" applyAlignment="1">
      <alignment vertical="center"/>
    </xf>
    <xf numFmtId="165" fontId="32" fillId="17" borderId="13" xfId="1" applyNumberFormat="1" applyFont="1" applyFill="1" applyBorder="1" applyAlignment="1">
      <alignment vertical="center"/>
    </xf>
    <xf numFmtId="170" fontId="42" fillId="14" borderId="0" xfId="1" applyNumberFormat="1" applyFont="1" applyFill="1" applyAlignment="1">
      <alignment vertical="center"/>
    </xf>
    <xf numFmtId="170" fontId="42" fillId="14" borderId="40" xfId="1" applyNumberFormat="1" applyFont="1" applyFill="1" applyBorder="1" applyAlignment="1">
      <alignment vertical="center"/>
    </xf>
    <xf numFmtId="170" fontId="42" fillId="14" borderId="6" xfId="1" applyNumberFormat="1" applyFont="1" applyFill="1" applyBorder="1" applyAlignment="1">
      <alignment vertical="center"/>
    </xf>
    <xf numFmtId="170" fontId="42" fillId="14" borderId="13" xfId="1" applyNumberFormat="1" applyFont="1" applyFill="1" applyBorder="1" applyAlignment="1">
      <alignment vertical="center"/>
    </xf>
    <xf numFmtId="174" fontId="36" fillId="17" borderId="0" xfId="2" applyNumberFormat="1" applyFont="1" applyFill="1" applyAlignment="1">
      <alignment horizontal="center" vertical="center"/>
    </xf>
    <xf numFmtId="174" fontId="36" fillId="17" borderId="40" xfId="2" applyNumberFormat="1" applyFont="1" applyFill="1" applyBorder="1" applyAlignment="1">
      <alignment horizontal="center" vertical="center"/>
    </xf>
    <xf numFmtId="174" fontId="32" fillId="17" borderId="6" xfId="2" applyNumberFormat="1" applyFont="1" applyFill="1" applyBorder="1" applyAlignment="1">
      <alignment vertical="center"/>
    </xf>
    <xf numFmtId="174" fontId="32" fillId="17" borderId="13" xfId="2" applyNumberFormat="1" applyFont="1" applyFill="1" applyBorder="1" applyAlignment="1">
      <alignment vertical="center"/>
    </xf>
    <xf numFmtId="174" fontId="36" fillId="17" borderId="0" xfId="1" applyNumberFormat="1" applyFont="1" applyFill="1" applyAlignment="1">
      <alignment vertical="center"/>
    </xf>
    <xf numFmtId="174" fontId="36" fillId="17" borderId="40" xfId="1" applyNumberFormat="1" applyFont="1" applyFill="1" applyBorder="1" applyAlignment="1">
      <alignment vertical="center"/>
    </xf>
    <xf numFmtId="174" fontId="32" fillId="17" borderId="6" xfId="1" applyNumberFormat="1" applyFont="1" applyFill="1" applyBorder="1" applyAlignment="1">
      <alignment vertical="center"/>
    </xf>
    <xf numFmtId="174" fontId="32" fillId="17" borderId="13" xfId="1" applyNumberFormat="1" applyFont="1" applyFill="1" applyBorder="1" applyAlignment="1">
      <alignment vertical="center"/>
    </xf>
    <xf numFmtId="10" fontId="36" fillId="17" borderId="0" xfId="1" applyNumberFormat="1" applyFont="1" applyFill="1" applyAlignment="1">
      <alignment vertical="center"/>
    </xf>
    <xf numFmtId="10" fontId="36" fillId="17" borderId="40" xfId="1" applyNumberFormat="1" applyFont="1" applyFill="1" applyBorder="1" applyAlignment="1">
      <alignment vertical="center"/>
    </xf>
    <xf numFmtId="10" fontId="32" fillId="17" borderId="6" xfId="1" applyNumberFormat="1" applyFont="1" applyFill="1" applyBorder="1" applyAlignment="1">
      <alignment vertical="center"/>
    </xf>
    <xf numFmtId="10" fontId="32" fillId="17" borderId="13" xfId="1" applyNumberFormat="1" applyFont="1" applyFill="1" applyBorder="1" applyAlignment="1">
      <alignment vertical="center"/>
    </xf>
    <xf numFmtId="165" fontId="32" fillId="17" borderId="0" xfId="1" applyNumberFormat="1" applyFont="1" applyFill="1" applyAlignment="1">
      <alignment vertical="center"/>
    </xf>
    <xf numFmtId="165" fontId="32" fillId="17" borderId="0" xfId="1" applyNumberFormat="1" applyFont="1" applyFill="1" applyBorder="1" applyAlignment="1">
      <alignment vertical="center"/>
    </xf>
    <xf numFmtId="0" fontId="33" fillId="13" borderId="2" xfId="0" applyFont="1" applyFill="1" applyBorder="1" applyAlignment="1">
      <alignment horizontal="left" vertical="center"/>
    </xf>
    <xf numFmtId="0" fontId="33" fillId="13" borderId="20" xfId="0" applyFont="1" applyFill="1" applyBorder="1" applyAlignment="1">
      <alignment horizontal="center" vertical="center"/>
    </xf>
    <xf numFmtId="0" fontId="33" fillId="13" borderId="2" xfId="0" applyFont="1" applyFill="1" applyBorder="1" applyAlignment="1">
      <alignment horizontal="center" vertical="center"/>
    </xf>
    <xf numFmtId="0" fontId="34" fillId="17" borderId="0" xfId="0" applyFont="1" applyFill="1" applyAlignment="1">
      <alignment horizontal="left" vertical="center"/>
    </xf>
    <xf numFmtId="0" fontId="34" fillId="17" borderId="15" xfId="0" applyFont="1" applyFill="1" applyBorder="1" applyAlignment="1">
      <alignment horizontal="center" vertical="center"/>
    </xf>
    <xf numFmtId="176" fontId="35" fillId="17" borderId="0" xfId="1" applyNumberFormat="1" applyFont="1" applyFill="1" applyAlignment="1">
      <alignment vertical="center"/>
    </xf>
    <xf numFmtId="176" fontId="35" fillId="17" borderId="40" xfId="1" applyNumberFormat="1" applyFont="1" applyFill="1" applyBorder="1" applyAlignment="1">
      <alignment vertical="center"/>
    </xf>
    <xf numFmtId="176" fontId="34" fillId="17" borderId="0" xfId="1" applyNumberFormat="1" applyFont="1" applyFill="1" applyBorder="1" applyAlignment="1">
      <alignment vertical="center"/>
    </xf>
    <xf numFmtId="176" fontId="32" fillId="17" borderId="0" xfId="1" applyNumberFormat="1" applyFont="1" applyFill="1" applyBorder="1" applyAlignment="1">
      <alignment vertical="center"/>
    </xf>
    <xf numFmtId="176" fontId="34" fillId="18" borderId="32" xfId="1" applyNumberFormat="1" applyFont="1" applyFill="1" applyBorder="1" applyAlignment="1">
      <alignment vertical="center"/>
    </xf>
    <xf numFmtId="176" fontId="37" fillId="17" borderId="0" xfId="1" applyNumberFormat="1" applyFont="1" applyFill="1" applyBorder="1" applyAlignment="1">
      <alignment vertical="center"/>
    </xf>
    <xf numFmtId="176" fontId="34" fillId="18" borderId="0" xfId="1" applyNumberFormat="1" applyFont="1" applyFill="1" applyBorder="1" applyAlignment="1">
      <alignment vertical="center"/>
    </xf>
    <xf numFmtId="10" fontId="36" fillId="17" borderId="0" xfId="2" applyNumberFormat="1" applyFont="1" applyFill="1" applyAlignment="1">
      <alignment vertical="center"/>
    </xf>
    <xf numFmtId="10" fontId="36" fillId="17" borderId="40" xfId="2" applyNumberFormat="1" applyFont="1" applyFill="1" applyBorder="1" applyAlignment="1">
      <alignment vertical="center"/>
    </xf>
    <xf numFmtId="10" fontId="32" fillId="17" borderId="0" xfId="2" applyNumberFormat="1" applyFont="1" applyFill="1" applyBorder="1" applyAlignment="1">
      <alignment vertical="center"/>
    </xf>
    <xf numFmtId="0" fontId="32" fillId="17" borderId="16" xfId="0" applyFont="1" applyFill="1" applyBorder="1" applyAlignment="1">
      <alignment vertical="center"/>
    </xf>
    <xf numFmtId="0" fontId="32" fillId="17" borderId="21" xfId="0" applyFont="1" applyFill="1" applyBorder="1" applyAlignment="1">
      <alignment vertical="center"/>
    </xf>
    <xf numFmtId="176" fontId="36" fillId="17" borderId="16" xfId="1" applyNumberFormat="1" applyFont="1" applyFill="1" applyBorder="1" applyAlignment="1">
      <alignment vertical="center"/>
    </xf>
    <xf numFmtId="176" fontId="36" fillId="17" borderId="43" xfId="1" applyNumberFormat="1" applyFont="1" applyFill="1" applyBorder="1" applyAlignment="1">
      <alignment vertical="center"/>
    </xf>
    <xf numFmtId="176" fontId="32" fillId="17" borderId="16" xfId="1" applyNumberFormat="1" applyFont="1" applyFill="1" applyBorder="1" applyAlignment="1">
      <alignment vertical="center"/>
    </xf>
    <xf numFmtId="176" fontId="42" fillId="14" borderId="0" xfId="1" applyNumberFormat="1" applyFont="1" applyFill="1" applyBorder="1" applyAlignment="1">
      <alignment vertical="center"/>
    </xf>
    <xf numFmtId="0" fontId="37" fillId="17" borderId="0" xfId="0" applyFont="1" applyFill="1" applyAlignment="1">
      <alignment vertical="center"/>
    </xf>
    <xf numFmtId="170" fontId="32" fillId="17" borderId="0" xfId="1" applyNumberFormat="1" applyFont="1" applyFill="1" applyAlignment="1">
      <alignment vertical="center"/>
    </xf>
    <xf numFmtId="0" fontId="34" fillId="16" borderId="32" xfId="0" applyFont="1" applyFill="1" applyBorder="1" applyAlignment="1">
      <alignment horizontal="left" vertical="center"/>
    </xf>
    <xf numFmtId="0" fontId="34" fillId="16" borderId="33" xfId="0" applyFont="1" applyFill="1" applyBorder="1" applyAlignment="1">
      <alignment horizontal="center" vertical="center"/>
    </xf>
    <xf numFmtId="176" fontId="35" fillId="16" borderId="32" xfId="1" applyNumberFormat="1" applyFont="1" applyFill="1" applyBorder="1" applyAlignment="1">
      <alignment vertical="center"/>
    </xf>
    <xf numFmtId="176" fontId="35" fillId="16" borderId="42" xfId="1" applyNumberFormat="1" applyFont="1" applyFill="1" applyBorder="1" applyAlignment="1">
      <alignment vertical="center"/>
    </xf>
    <xf numFmtId="176" fontId="34" fillId="16" borderId="38" xfId="1" applyNumberFormat="1" applyFont="1" applyFill="1" applyBorder="1" applyAlignment="1">
      <alignment vertical="center"/>
    </xf>
    <xf numFmtId="176" fontId="34" fillId="16" borderId="39" xfId="1" applyNumberFormat="1" applyFont="1" applyFill="1" applyBorder="1" applyAlignment="1">
      <alignment vertical="center"/>
    </xf>
    <xf numFmtId="0" fontId="43" fillId="19" borderId="0" xfId="0" applyFont="1" applyFill="1" applyAlignment="1">
      <alignment horizontal="left" vertical="center"/>
    </xf>
    <xf numFmtId="0" fontId="44" fillId="0" borderId="0" xfId="0" applyFont="1"/>
    <xf numFmtId="170" fontId="42" fillId="14" borderId="0" xfId="1" applyNumberFormat="1" applyFont="1" applyFill="1" applyBorder="1" applyAlignment="1">
      <alignment vertical="center"/>
    </xf>
    <xf numFmtId="0" fontId="45" fillId="17" borderId="0" xfId="0" applyFont="1" applyFill="1"/>
    <xf numFmtId="10" fontId="44" fillId="0" borderId="0" xfId="0" applyNumberFormat="1" applyFont="1"/>
    <xf numFmtId="182" fontId="44" fillId="0" borderId="0" xfId="0" applyNumberFormat="1" applyFont="1"/>
    <xf numFmtId="174" fontId="44" fillId="0" borderId="0" xfId="0" applyNumberFormat="1" applyFont="1"/>
    <xf numFmtId="0" fontId="46" fillId="0" borderId="0" xfId="0" applyFont="1" applyAlignment="1">
      <alignment vertical="center"/>
    </xf>
    <xf numFmtId="0" fontId="32" fillId="17" borderId="0" xfId="0" applyFont="1" applyFill="1" applyAlignment="1">
      <alignment horizontal="center" vertical="center"/>
    </xf>
    <xf numFmtId="182" fontId="36" fillId="17" borderId="0" xfId="1" applyNumberFormat="1" applyFont="1" applyFill="1" applyAlignment="1">
      <alignment vertical="center"/>
    </xf>
    <xf numFmtId="182" fontId="36" fillId="17" borderId="40" xfId="1" applyNumberFormat="1" applyFont="1" applyFill="1" applyBorder="1" applyAlignment="1">
      <alignment vertical="center"/>
    </xf>
    <xf numFmtId="182" fontId="32" fillId="17" borderId="6" xfId="1" applyNumberFormat="1" applyFont="1" applyFill="1" applyBorder="1" applyAlignment="1">
      <alignment vertical="center"/>
    </xf>
    <xf numFmtId="182" fontId="32" fillId="17" borderId="0" xfId="1" applyNumberFormat="1" applyFont="1" applyFill="1" applyBorder="1" applyAlignment="1">
      <alignment vertical="center"/>
    </xf>
    <xf numFmtId="174" fontId="32" fillId="17" borderId="0" xfId="1" applyNumberFormat="1" applyFont="1" applyFill="1" applyBorder="1" applyAlignment="1">
      <alignment vertical="center"/>
    </xf>
    <xf numFmtId="10" fontId="32" fillId="17" borderId="0" xfId="1" applyNumberFormat="1" applyFont="1" applyFill="1" applyBorder="1" applyAlignment="1">
      <alignment vertical="center"/>
    </xf>
    <xf numFmtId="10" fontId="32" fillId="17" borderId="6" xfId="2" applyNumberFormat="1" applyFont="1" applyFill="1" applyBorder="1" applyAlignment="1">
      <alignment vertical="center"/>
    </xf>
    <xf numFmtId="10" fontId="32" fillId="17" borderId="13" xfId="2" applyNumberFormat="1" applyFont="1" applyFill="1" applyBorder="1" applyAlignment="1">
      <alignment vertical="center"/>
    </xf>
    <xf numFmtId="0" fontId="48" fillId="18" borderId="0" xfId="0" applyFont="1" applyFill="1" applyAlignment="1">
      <alignment horizontal="right"/>
    </xf>
    <xf numFmtId="0" fontId="49" fillId="20" borderId="0" xfId="0" applyFont="1" applyFill="1" applyAlignment="1">
      <alignment horizontal="center"/>
    </xf>
    <xf numFmtId="0" fontId="50" fillId="14" borderId="0" xfId="0" applyFont="1" applyFill="1"/>
    <xf numFmtId="171" fontId="49" fillId="16" borderId="0" xfId="0" applyNumberFormat="1" applyFont="1" applyFill="1" applyAlignment="1">
      <alignment horizontal="right"/>
    </xf>
    <xf numFmtId="171" fontId="51" fillId="15" borderId="0" xfId="0" applyNumberFormat="1" applyFont="1" applyFill="1" applyAlignment="1">
      <alignment horizontal="right"/>
    </xf>
    <xf numFmtId="1" fontId="49" fillId="16" borderId="0" xfId="0" applyNumberFormat="1" applyFont="1" applyFill="1" applyAlignment="1">
      <alignment horizontal="right"/>
    </xf>
    <xf numFmtId="10" fontId="52" fillId="15" borderId="0" xfId="0" applyNumberFormat="1" applyFont="1" applyFill="1" applyAlignment="1">
      <alignment horizontal="right"/>
    </xf>
    <xf numFmtId="2" fontId="52" fillId="15" borderId="0" xfId="0" applyNumberFormat="1" applyFont="1" applyFill="1" applyAlignment="1">
      <alignment horizontal="right"/>
    </xf>
    <xf numFmtId="10" fontId="49" fillId="16" borderId="0" xfId="0" applyNumberFormat="1" applyFont="1" applyFill="1" applyAlignment="1">
      <alignment horizontal="right"/>
    </xf>
    <xf numFmtId="166" fontId="49" fillId="16" borderId="0" xfId="0" applyNumberFormat="1" applyFont="1" applyFill="1" applyAlignment="1">
      <alignment horizontal="right"/>
    </xf>
    <xf numFmtId="166" fontId="52" fillId="15" borderId="0" xfId="0" applyNumberFormat="1" applyFont="1" applyFill="1" applyAlignment="1">
      <alignment horizontal="right"/>
    </xf>
    <xf numFmtId="10" fontId="49" fillId="15" borderId="0" xfId="0" applyNumberFormat="1" applyFont="1" applyFill="1" applyAlignment="1">
      <alignment horizontal="right"/>
    </xf>
    <xf numFmtId="3" fontId="51" fillId="15" borderId="0" xfId="0" applyNumberFormat="1" applyFont="1" applyFill="1" applyAlignment="1">
      <alignment horizontal="right"/>
    </xf>
    <xf numFmtId="173" fontId="51" fillId="15" borderId="0" xfId="0" applyNumberFormat="1" applyFont="1" applyFill="1" applyAlignment="1">
      <alignment horizontal="right"/>
    </xf>
    <xf numFmtId="10" fontId="45" fillId="17" borderId="0" xfId="0" applyNumberFormat="1" applyFont="1" applyFill="1" applyAlignment="1">
      <alignment horizontal="right"/>
    </xf>
    <xf numFmtId="0" fontId="48" fillId="17" borderId="0" xfId="0" applyFont="1" applyFill="1"/>
    <xf numFmtId="10" fontId="48" fillId="20" borderId="0" xfId="0" applyNumberFormat="1" applyFont="1" applyFill="1" applyAlignment="1">
      <alignment horizontal="right"/>
    </xf>
    <xf numFmtId="172" fontId="45" fillId="17" borderId="0" xfId="0" applyNumberFormat="1" applyFont="1" applyFill="1" applyAlignment="1">
      <alignment horizontal="right"/>
    </xf>
    <xf numFmtId="0" fontId="53" fillId="13" borderId="0" xfId="0" applyFont="1" applyFill="1" applyAlignment="1">
      <alignment horizontal="left"/>
    </xf>
    <xf numFmtId="0" fontId="53" fillId="13" borderId="0" xfId="0" applyFont="1" applyFill="1" applyAlignment="1">
      <alignment horizontal="center"/>
    </xf>
    <xf numFmtId="0" fontId="45" fillId="17" borderId="0" xfId="0" applyFont="1" applyFill="1" applyAlignment="1">
      <alignment horizontal="left"/>
    </xf>
    <xf numFmtId="0" fontId="45" fillId="17" borderId="0" xfId="0" applyFont="1" applyFill="1" applyAlignment="1">
      <alignment horizontal="center"/>
    </xf>
    <xf numFmtId="177" fontId="45" fillId="17" borderId="0" xfId="0" applyNumberFormat="1" applyFont="1" applyFill="1" applyAlignment="1">
      <alignment horizontal="left"/>
    </xf>
    <xf numFmtId="173" fontId="45" fillId="17" borderId="0" xfId="0" applyNumberFormat="1" applyFont="1" applyFill="1"/>
    <xf numFmtId="175" fontId="45" fillId="17" borderId="0" xfId="0" applyNumberFormat="1" applyFont="1" applyFill="1"/>
    <xf numFmtId="0" fontId="48" fillId="18" borderId="35" xfId="0" applyFont="1" applyFill="1" applyBorder="1" applyAlignment="1">
      <alignment horizontal="left"/>
    </xf>
    <xf numFmtId="0" fontId="48" fillId="18" borderId="35" xfId="0" applyFont="1" applyFill="1" applyBorder="1" applyAlignment="1">
      <alignment horizontal="center"/>
    </xf>
    <xf numFmtId="0" fontId="48" fillId="18" borderId="35" xfId="0" applyFont="1" applyFill="1" applyBorder="1"/>
    <xf numFmtId="177" fontId="48" fillId="18" borderId="35" xfId="0" applyNumberFormat="1" applyFont="1" applyFill="1" applyBorder="1" applyAlignment="1">
      <alignment horizontal="left"/>
    </xf>
    <xf numFmtId="172" fontId="45" fillId="17" borderId="0" xfId="0" applyNumberFormat="1" applyFont="1" applyFill="1" applyAlignment="1">
      <alignment horizontal="left"/>
    </xf>
    <xf numFmtId="172" fontId="45" fillId="17" borderId="0" xfId="0" applyNumberFormat="1" applyFont="1" applyFill="1"/>
    <xf numFmtId="178" fontId="45" fillId="17" borderId="0" xfId="0" applyNumberFormat="1" applyFont="1" applyFill="1" applyAlignment="1">
      <alignment horizontal="left"/>
    </xf>
    <xf numFmtId="177" fontId="48" fillId="17" borderId="0" xfId="0" applyNumberFormat="1" applyFont="1" applyFill="1" applyAlignment="1">
      <alignment horizontal="right"/>
    </xf>
    <xf numFmtId="177" fontId="45" fillId="17" borderId="0" xfId="0" applyNumberFormat="1" applyFont="1" applyFill="1" applyAlignment="1">
      <alignment horizontal="right"/>
    </xf>
    <xf numFmtId="177" fontId="48" fillId="18" borderId="35" xfId="0" applyNumberFormat="1" applyFont="1" applyFill="1" applyBorder="1" applyAlignment="1">
      <alignment horizontal="right"/>
    </xf>
    <xf numFmtId="173" fontId="45" fillId="17" borderId="0" xfId="0" applyNumberFormat="1" applyFont="1" applyFill="1" applyAlignment="1">
      <alignment horizontal="right"/>
    </xf>
    <xf numFmtId="0" fontId="48" fillId="17" borderId="0" xfId="0" applyFont="1" applyFill="1" applyAlignment="1">
      <alignment horizontal="left"/>
    </xf>
    <xf numFmtId="3" fontId="48" fillId="20" borderId="0" xfId="0" applyNumberFormat="1" applyFont="1" applyFill="1" applyAlignment="1">
      <alignment horizontal="right"/>
    </xf>
    <xf numFmtId="3" fontId="45" fillId="17" borderId="0" xfId="0" applyNumberFormat="1" applyFont="1" applyFill="1" applyAlignment="1">
      <alignment horizontal="right"/>
    </xf>
    <xf numFmtId="0" fontId="54" fillId="23" borderId="0" xfId="0" applyFont="1" applyFill="1" applyAlignment="1">
      <alignment horizontal="center"/>
    </xf>
    <xf numFmtId="10" fontId="54" fillId="23" borderId="0" xfId="0" applyNumberFormat="1" applyFont="1" applyFill="1" applyAlignment="1">
      <alignment horizontal="center"/>
    </xf>
    <xf numFmtId="10" fontId="54" fillId="20" borderId="0" xfId="0" applyNumberFormat="1" applyFont="1" applyFill="1" applyAlignment="1">
      <alignment horizontal="center"/>
    </xf>
    <xf numFmtId="187" fontId="44" fillId="0" borderId="0" xfId="0" applyNumberFormat="1" applyFont="1" applyAlignment="1">
      <alignment horizontal="right"/>
    </xf>
    <xf numFmtId="187" fontId="54" fillId="20" borderId="0" xfId="0" applyNumberFormat="1" applyFont="1" applyFill="1" applyAlignment="1">
      <alignment horizontal="right"/>
    </xf>
    <xf numFmtId="2" fontId="54" fillId="23" borderId="0" xfId="0" applyNumberFormat="1" applyFont="1" applyFill="1" applyAlignment="1">
      <alignment horizontal="center"/>
    </xf>
    <xf numFmtId="2" fontId="54" fillId="20" borderId="0" xfId="0" applyNumberFormat="1" applyFont="1" applyFill="1" applyAlignment="1">
      <alignment horizontal="center"/>
    </xf>
    <xf numFmtId="0" fontId="54" fillId="23" borderId="0" xfId="0" applyFont="1" applyFill="1"/>
    <xf numFmtId="0" fontId="53" fillId="24" borderId="0" xfId="0" applyFont="1" applyFill="1" applyAlignment="1">
      <alignment horizontal="center"/>
    </xf>
    <xf numFmtId="0" fontId="54" fillId="20" borderId="0" xfId="0" applyFont="1" applyFill="1" applyAlignment="1">
      <alignment horizontal="center"/>
    </xf>
    <xf numFmtId="0" fontId="54" fillId="25" borderId="0" xfId="0" applyFont="1" applyFill="1" applyAlignment="1">
      <alignment horizontal="center"/>
    </xf>
    <xf numFmtId="0" fontId="44" fillId="17" borderId="0" xfId="0" applyFont="1" applyFill="1"/>
    <xf numFmtId="2" fontId="52" fillId="0" borderId="0" xfId="0" applyNumberFormat="1" applyFont="1" applyAlignment="1">
      <alignment horizontal="center"/>
    </xf>
    <xf numFmtId="2" fontId="52" fillId="17" borderId="0" xfId="0" applyNumberFormat="1" applyFont="1" applyFill="1" applyAlignment="1">
      <alignment horizontal="center"/>
    </xf>
    <xf numFmtId="10" fontId="52" fillId="0" borderId="0" xfId="0" applyNumberFormat="1" applyFont="1" applyAlignment="1">
      <alignment horizontal="center"/>
    </xf>
    <xf numFmtId="10" fontId="52" fillId="17" borderId="0" xfId="0" applyNumberFormat="1" applyFont="1" applyFill="1" applyAlignment="1">
      <alignment horizontal="center"/>
    </xf>
    <xf numFmtId="187" fontId="52" fillId="0" borderId="0" xfId="0" applyNumberFormat="1" applyFont="1" applyAlignment="1">
      <alignment horizontal="center"/>
    </xf>
    <xf numFmtId="166" fontId="52" fillId="0" borderId="0" xfId="0" applyNumberFormat="1" applyFont="1" applyAlignment="1">
      <alignment horizontal="center"/>
    </xf>
    <xf numFmtId="10" fontId="44" fillId="0" borderId="0" xfId="0" applyNumberFormat="1" applyFont="1" applyAlignment="1">
      <alignment horizontal="center"/>
    </xf>
    <xf numFmtId="175" fontId="44" fillId="0" borderId="0" xfId="0" applyNumberFormat="1" applyFont="1" applyAlignment="1">
      <alignment horizontal="right"/>
    </xf>
    <xf numFmtId="0" fontId="54" fillId="0" borderId="0" xfId="0" applyFont="1"/>
    <xf numFmtId="175" fontId="54" fillId="22" borderId="0" xfId="0" applyNumberFormat="1" applyFont="1" applyFill="1" applyAlignment="1">
      <alignment horizontal="right"/>
    </xf>
    <xf numFmtId="3" fontId="54" fillId="20" borderId="0" xfId="0" applyNumberFormat="1" applyFont="1" applyFill="1" applyAlignment="1">
      <alignment horizontal="right"/>
    </xf>
    <xf numFmtId="187" fontId="54" fillId="0" borderId="0" xfId="0" applyNumberFormat="1" applyFont="1" applyAlignment="1">
      <alignment horizontal="right"/>
    </xf>
    <xf numFmtId="170" fontId="32" fillId="17" borderId="0" xfId="0" applyNumberFormat="1" applyFont="1" applyFill="1" applyAlignment="1">
      <alignment vertical="center"/>
    </xf>
    <xf numFmtId="0" fontId="44" fillId="0" borderId="0" xfId="0" applyFont="1" applyAlignment="1">
      <alignment wrapText="1"/>
    </xf>
    <xf numFmtId="3" fontId="44" fillId="0" borderId="0" xfId="0" applyNumberFormat="1" applyFont="1"/>
    <xf numFmtId="0" fontId="55" fillId="0" borderId="0" xfId="0" applyFont="1"/>
    <xf numFmtId="166" fontId="44" fillId="0" borderId="0" xfId="0" applyNumberFormat="1" applyFont="1"/>
    <xf numFmtId="0" fontId="56" fillId="0" borderId="0" xfId="0" applyFont="1"/>
    <xf numFmtId="3" fontId="54" fillId="0" borderId="0" xfId="0" applyNumberFormat="1" applyFont="1"/>
    <xf numFmtId="1" fontId="44" fillId="0" borderId="0" xfId="0" applyNumberFormat="1" applyFont="1"/>
    <xf numFmtId="186" fontId="44" fillId="0" borderId="0" xfId="0" applyNumberFormat="1" applyFont="1"/>
    <xf numFmtId="2" fontId="44" fillId="0" borderId="0" xfId="0" applyNumberFormat="1" applyFont="1"/>
    <xf numFmtId="10" fontId="54" fillId="16" borderId="0" xfId="0" applyNumberFormat="1" applyFont="1" applyFill="1"/>
    <xf numFmtId="3" fontId="54" fillId="16" borderId="0" xfId="0" applyNumberFormat="1" applyFont="1" applyFill="1"/>
    <xf numFmtId="166" fontId="57" fillId="15" borderId="0" xfId="0" applyNumberFormat="1" applyFont="1" applyFill="1"/>
    <xf numFmtId="0" fontId="46" fillId="0" borderId="0" xfId="0" applyFont="1" applyAlignment="1">
      <alignment horizontal="left" vertical="top" wrapText="1"/>
    </xf>
    <xf numFmtId="0" fontId="46" fillId="0" borderId="0" xfId="0" applyFont="1"/>
    <xf numFmtId="168" fontId="33" fillId="13" borderId="0" xfId="0" applyNumberFormat="1" applyFont="1" applyFill="1" applyAlignment="1">
      <alignment horizontal="center" vertical="center"/>
    </xf>
    <xf numFmtId="168" fontId="33" fillId="13" borderId="13" xfId="0" applyNumberFormat="1" applyFont="1" applyFill="1" applyBorder="1" applyAlignment="1">
      <alignment horizontal="center" vertical="center"/>
    </xf>
    <xf numFmtId="0" fontId="43" fillId="19" borderId="19" xfId="0" applyFont="1" applyFill="1" applyBorder="1" applyAlignment="1">
      <alignment horizontal="left" vertical="center"/>
    </xf>
    <xf numFmtId="0" fontId="43" fillId="19" borderId="13" xfId="0" applyFont="1" applyFill="1" applyBorder="1" applyAlignment="1">
      <alignment horizontal="left" vertical="center"/>
    </xf>
    <xf numFmtId="0" fontId="47" fillId="19" borderId="0" xfId="0" applyFont="1" applyFill="1" applyAlignment="1">
      <alignment horizontal="left"/>
    </xf>
    <xf numFmtId="0" fontId="47" fillId="19" borderId="0" xfId="0" applyFont="1" applyFill="1" applyAlignment="1">
      <alignment horizontal="left" wrapText="1"/>
    </xf>
    <xf numFmtId="3" fontId="53" fillId="13" borderId="0" xfId="0" applyNumberFormat="1" applyFont="1" applyFill="1" applyAlignment="1">
      <alignment horizontal="center"/>
    </xf>
    <xf numFmtId="0" fontId="53" fillId="13" borderId="0" xfId="0" applyFont="1" applyFill="1" applyAlignment="1">
      <alignment horizontal="center" wrapText="1"/>
    </xf>
    <xf numFmtId="0" fontId="42" fillId="14" borderId="0" xfId="0" applyFont="1" applyFill="1" applyAlignment="1">
      <alignment horizontal="left" vertical="top" wrapText="1"/>
    </xf>
    <xf numFmtId="0" fontId="42" fillId="14" borderId="0" xfId="0" applyFont="1" applyFill="1" applyAlignment="1">
      <alignment horizontal="left" vertical="top"/>
    </xf>
    <xf numFmtId="0" fontId="42" fillId="14" borderId="0" xfId="0" applyFont="1" applyFill="1" applyAlignment="1">
      <alignment vertical="center"/>
    </xf>
    <xf numFmtId="0" fontId="50" fillId="14" borderId="0" xfId="0" applyFont="1" applyFill="1" applyAlignment="1">
      <alignment horizontal="left"/>
    </xf>
    <xf numFmtId="0" fontId="50" fillId="14" borderId="0" xfId="0" applyFont="1" applyFill="1" applyAlignment="1">
      <alignment horizontal="left" wrapText="1"/>
    </xf>
    <xf numFmtId="0" fontId="61" fillId="14" borderId="0" xfId="0" applyFont="1" applyFill="1" applyAlignment="1">
      <alignment horizontal="left"/>
    </xf>
    <xf numFmtId="0" fontId="42" fillId="14" borderId="0" xfId="0" applyFont="1" applyFill="1" applyAlignment="1">
      <alignment horizontal="left"/>
    </xf>
    <xf numFmtId="0" fontId="62" fillId="13" borderId="0" xfId="0" applyFont="1" applyFill="1" applyAlignment="1">
      <alignment horizontal="left"/>
    </xf>
    <xf numFmtId="0" fontId="58" fillId="8" borderId="1" xfId="0" applyFont="1" applyFill="1" applyBorder="1" applyAlignment="1">
      <alignment horizontal="center" vertical="center" wrapText="1"/>
    </xf>
    <xf numFmtId="0" fontId="58" fillId="8" borderId="2" xfId="0" applyFont="1" applyFill="1" applyBorder="1" applyAlignment="1">
      <alignment horizontal="center" vertical="center" wrapText="1"/>
    </xf>
    <xf numFmtId="176" fontId="58" fillId="0" borderId="0" xfId="1" applyNumberFormat="1" applyFont="1" applyAlignment="1">
      <alignment vertical="center"/>
    </xf>
    <xf numFmtId="176" fontId="46" fillId="0" borderId="0" xfId="1" applyNumberFormat="1" applyFont="1" applyAlignment="1">
      <alignment vertical="center"/>
    </xf>
    <xf numFmtId="0" fontId="58" fillId="0" borderId="0" xfId="0" applyFont="1" applyAlignment="1">
      <alignment vertical="center"/>
    </xf>
    <xf numFmtId="176" fontId="64" fillId="0" borderId="0" xfId="1" applyNumberFormat="1" applyFont="1" applyAlignment="1">
      <alignment vertical="center"/>
    </xf>
    <xf numFmtId="0" fontId="46" fillId="0" borderId="15" xfId="0" applyFont="1" applyBorder="1" applyAlignment="1">
      <alignment vertical="center"/>
    </xf>
    <xf numFmtId="10" fontId="58" fillId="0" borderId="0" xfId="2" applyNumberFormat="1" applyFont="1" applyAlignment="1">
      <alignment vertical="center"/>
    </xf>
    <xf numFmtId="0" fontId="46" fillId="0" borderId="15" xfId="0" applyFont="1" applyBorder="1" applyAlignment="1">
      <alignment horizontal="center" vertical="center"/>
    </xf>
    <xf numFmtId="10" fontId="46" fillId="0" borderId="0" xfId="2" applyNumberFormat="1" applyFont="1" applyAlignment="1">
      <alignment vertical="center"/>
    </xf>
    <xf numFmtId="0" fontId="46" fillId="0" borderId="16" xfId="0" applyFont="1" applyBorder="1" applyAlignment="1">
      <alignment vertical="center"/>
    </xf>
    <xf numFmtId="0" fontId="46" fillId="0" borderId="21" xfId="0" applyFont="1" applyBorder="1" applyAlignment="1">
      <alignment vertical="center"/>
    </xf>
    <xf numFmtId="176" fontId="46" fillId="0" borderId="16" xfId="1" applyNumberFormat="1" applyFont="1" applyBorder="1" applyAlignment="1">
      <alignment vertical="center"/>
    </xf>
    <xf numFmtId="10" fontId="65" fillId="0" borderId="0" xfId="2" applyNumberFormat="1" applyFont="1" applyAlignment="1">
      <alignment vertical="center"/>
    </xf>
    <xf numFmtId="176" fontId="58" fillId="0" borderId="0" xfId="1" applyNumberFormat="1" applyFont="1" applyAlignment="1">
      <alignment horizontal="center" vertical="center"/>
    </xf>
    <xf numFmtId="176" fontId="46" fillId="0" borderId="0" xfId="1" applyNumberFormat="1" applyFont="1" applyAlignment="1">
      <alignment horizontal="center" vertical="center"/>
    </xf>
    <xf numFmtId="176" fontId="64" fillId="0" borderId="0" xfId="0" applyNumberFormat="1" applyFont="1" applyAlignment="1">
      <alignment horizontal="center" vertical="center"/>
    </xf>
    <xf numFmtId="10" fontId="46" fillId="0" borderId="0" xfId="2" applyNumberFormat="1" applyFont="1" applyAlignment="1">
      <alignment horizontal="right" vertical="center"/>
    </xf>
    <xf numFmtId="3" fontId="46" fillId="0" borderId="0" xfId="1" applyNumberFormat="1" applyFont="1" applyAlignment="1">
      <alignment horizontal="center" vertical="center"/>
    </xf>
    <xf numFmtId="176" fontId="46" fillId="0" borderId="16" xfId="0" applyNumberFormat="1" applyFont="1" applyBorder="1" applyAlignment="1">
      <alignment horizontal="center" vertical="center"/>
    </xf>
    <xf numFmtId="0" fontId="66" fillId="0" borderId="0" xfId="0" applyFont="1" applyAlignment="1">
      <alignment horizontal="left" vertical="center"/>
    </xf>
    <xf numFmtId="0" fontId="66" fillId="0" borderId="15" xfId="0" applyFont="1" applyBorder="1" applyAlignment="1">
      <alignment horizontal="center" vertical="center"/>
    </xf>
    <xf numFmtId="0" fontId="58" fillId="0" borderId="0" xfId="0" applyFont="1" applyAlignment="1">
      <alignment horizontal="left" vertical="center"/>
    </xf>
    <xf numFmtId="0" fontId="58" fillId="0" borderId="15" xfId="0" applyFont="1" applyBorder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64" fillId="0" borderId="0" xfId="0" applyFont="1" applyAlignment="1">
      <alignment vertical="center"/>
    </xf>
    <xf numFmtId="0" fontId="64" fillId="0" borderId="15" xfId="0" applyFont="1" applyBorder="1" applyAlignment="1">
      <alignment horizontal="center" vertical="center"/>
    </xf>
    <xf numFmtId="10" fontId="64" fillId="0" borderId="0" xfId="2" applyNumberFormat="1" applyFont="1" applyAlignment="1">
      <alignment vertical="center"/>
    </xf>
    <xf numFmtId="0" fontId="65" fillId="0" borderId="0" xfId="0" applyFont="1" applyAlignment="1">
      <alignment vertical="center"/>
    </xf>
    <xf numFmtId="0" fontId="65" fillId="0" borderId="15" xfId="0" applyFont="1" applyBorder="1" applyAlignment="1">
      <alignment horizontal="center" vertical="center"/>
    </xf>
    <xf numFmtId="176" fontId="64" fillId="0" borderId="0" xfId="2" applyNumberFormat="1" applyFont="1" applyAlignment="1">
      <alignment vertical="center"/>
    </xf>
    <xf numFmtId="10" fontId="58" fillId="0" borderId="0" xfId="2" applyNumberFormat="1" applyFont="1" applyAlignment="1">
      <alignment horizontal="right" vertical="center"/>
    </xf>
    <xf numFmtId="176" fontId="58" fillId="0" borderId="0" xfId="0" applyNumberFormat="1" applyFont="1" applyAlignment="1">
      <alignment horizontal="center" vertical="center"/>
    </xf>
    <xf numFmtId="10" fontId="64" fillId="0" borderId="0" xfId="2" applyNumberFormat="1" applyFont="1" applyAlignment="1">
      <alignment horizontal="right" vertical="center"/>
    </xf>
    <xf numFmtId="176" fontId="46" fillId="0" borderId="0" xfId="0" applyNumberFormat="1" applyFont="1" applyAlignment="1">
      <alignment horizontal="center" vertical="center"/>
    </xf>
    <xf numFmtId="0" fontId="67" fillId="0" borderId="0" xfId="0" applyFont="1" applyAlignment="1">
      <alignment vertical="center"/>
    </xf>
    <xf numFmtId="0" fontId="67" fillId="0" borderId="15" xfId="0" applyFont="1" applyBorder="1" applyAlignment="1">
      <alignment horizontal="center" vertical="center"/>
    </xf>
    <xf numFmtId="10" fontId="67" fillId="0" borderId="0" xfId="2" applyNumberFormat="1" applyFont="1" applyAlignment="1">
      <alignment horizontal="center" vertical="center"/>
    </xf>
    <xf numFmtId="176" fontId="67" fillId="0" borderId="0" xfId="2" applyNumberFormat="1" applyFont="1" applyAlignment="1">
      <alignment horizontal="center" vertical="center"/>
    </xf>
    <xf numFmtId="10" fontId="64" fillId="0" borderId="0" xfId="2" applyNumberFormat="1" applyFont="1" applyAlignment="1">
      <alignment horizontal="center" vertical="center"/>
    </xf>
    <xf numFmtId="0" fontId="68" fillId="0" borderId="0" xfId="0" applyFont="1" applyAlignment="1">
      <alignment horizontal="left" vertical="center"/>
    </xf>
    <xf numFmtId="0" fontId="68" fillId="0" borderId="15" xfId="0" applyFont="1" applyBorder="1" applyAlignment="1">
      <alignment horizontal="center" vertical="center"/>
    </xf>
    <xf numFmtId="176" fontId="68" fillId="0" borderId="0" xfId="1" applyNumberFormat="1" applyFont="1" applyAlignment="1">
      <alignment horizontal="center" vertical="center"/>
    </xf>
    <xf numFmtId="0" fontId="60" fillId="0" borderId="0" xfId="0" applyFont="1" applyAlignment="1">
      <alignment vertical="center"/>
    </xf>
    <xf numFmtId="0" fontId="60" fillId="0" borderId="15" xfId="0" applyFont="1" applyBorder="1" applyAlignment="1">
      <alignment horizontal="center" vertical="center"/>
    </xf>
    <xf numFmtId="176" fontId="60" fillId="0" borderId="0" xfId="1" applyNumberFormat="1" applyFont="1" applyAlignment="1">
      <alignment horizontal="center" vertical="center"/>
    </xf>
    <xf numFmtId="4" fontId="46" fillId="0" borderId="0" xfId="1" applyNumberFormat="1" applyFont="1" applyAlignment="1">
      <alignment horizontal="center" vertical="center"/>
    </xf>
    <xf numFmtId="10" fontId="67" fillId="0" borderId="0" xfId="2" applyNumberFormat="1" applyFont="1" applyAlignment="1">
      <alignment horizontal="right" vertical="center"/>
    </xf>
    <xf numFmtId="166" fontId="46" fillId="0" borderId="0" xfId="1" applyNumberFormat="1" applyFont="1" applyAlignment="1">
      <alignment vertical="center"/>
    </xf>
    <xf numFmtId="0" fontId="39" fillId="14" borderId="10" xfId="0" applyFont="1" applyFill="1" applyBorder="1" applyAlignment="1">
      <alignment vertical="center"/>
    </xf>
    <xf numFmtId="0" fontId="39" fillId="14" borderId="15" xfId="0" applyFont="1" applyFill="1" applyBorder="1" applyAlignment="1">
      <alignment horizontal="center" vertical="center"/>
    </xf>
    <xf numFmtId="166" fontId="39" fillId="14" borderId="0" xfId="2" applyNumberFormat="1" applyFont="1" applyFill="1" applyAlignment="1">
      <alignment horizontal="center" vertical="center"/>
    </xf>
    <xf numFmtId="166" fontId="39" fillId="14" borderId="40" xfId="2" applyNumberFormat="1" applyFont="1" applyFill="1" applyBorder="1" applyAlignment="1">
      <alignment horizontal="center" vertical="center"/>
    </xf>
    <xf numFmtId="165" fontId="42" fillId="14" borderId="13" xfId="1" applyNumberFormat="1" applyFont="1" applyFill="1" applyBorder="1" applyAlignment="1">
      <alignment vertical="center"/>
    </xf>
    <xf numFmtId="0" fontId="42" fillId="14" borderId="10" xfId="0" applyFont="1" applyFill="1" applyBorder="1" applyAlignment="1">
      <alignment horizontal="left" vertical="center"/>
    </xf>
    <xf numFmtId="0" fontId="42" fillId="14" borderId="40" xfId="0" applyFont="1" applyFill="1" applyBorder="1" applyAlignment="1">
      <alignment vertical="center"/>
    </xf>
    <xf numFmtId="0" fontId="33" fillId="13" borderId="41" xfId="0" applyFont="1" applyFill="1" applyBorder="1" applyAlignment="1">
      <alignment horizontal="center" vertical="center"/>
    </xf>
    <xf numFmtId="0" fontId="40" fillId="17" borderId="10" xfId="0" applyFont="1" applyFill="1" applyBorder="1" applyAlignment="1">
      <alignment horizontal="left" vertical="center"/>
    </xf>
    <xf numFmtId="0" fontId="40" fillId="17" borderId="15" xfId="0" applyFont="1" applyFill="1" applyBorder="1" applyAlignment="1">
      <alignment horizontal="center" vertical="center"/>
    </xf>
    <xf numFmtId="176" fontId="40" fillId="17" borderId="0" xfId="1" applyNumberFormat="1" applyFont="1" applyFill="1" applyAlignment="1">
      <alignment vertical="center"/>
    </xf>
    <xf numFmtId="176" fontId="40" fillId="17" borderId="40" xfId="1" applyNumberFormat="1" applyFont="1" applyFill="1" applyBorder="1" applyAlignment="1">
      <alignment vertical="center"/>
    </xf>
    <xf numFmtId="176" fontId="40" fillId="17" borderId="0" xfId="1" applyNumberFormat="1" applyFont="1" applyFill="1" applyBorder="1" applyAlignment="1">
      <alignment vertical="center"/>
    </xf>
    <xf numFmtId="0" fontId="37" fillId="17" borderId="10" xfId="0" applyFont="1" applyFill="1" applyBorder="1" applyAlignment="1">
      <alignment vertical="center"/>
    </xf>
    <xf numFmtId="166" fontId="37" fillId="17" borderId="0" xfId="2" applyNumberFormat="1" applyFont="1" applyFill="1" applyAlignment="1">
      <alignment horizontal="right" vertical="center"/>
    </xf>
    <xf numFmtId="166" fontId="37" fillId="17" borderId="40" xfId="2" applyNumberFormat="1" applyFont="1" applyFill="1" applyBorder="1" applyAlignment="1">
      <alignment horizontal="right" vertical="center"/>
    </xf>
    <xf numFmtId="166" fontId="37" fillId="17" borderId="0" xfId="2" applyNumberFormat="1" applyFont="1" applyFill="1" applyAlignment="1">
      <alignment horizontal="center" vertical="center"/>
    </xf>
    <xf numFmtId="166" fontId="37" fillId="17" borderId="40" xfId="2" applyNumberFormat="1" applyFont="1" applyFill="1" applyBorder="1" applyAlignment="1">
      <alignment horizontal="center" vertical="center"/>
    </xf>
    <xf numFmtId="166" fontId="70" fillId="16" borderId="13" xfId="1" applyNumberFormat="1" applyFont="1" applyFill="1" applyBorder="1" applyAlignment="1">
      <alignment vertical="center"/>
    </xf>
    <xf numFmtId="0" fontId="37" fillId="17" borderId="10" xfId="0" applyFont="1" applyFill="1" applyBorder="1" applyAlignment="1">
      <alignment horizontal="left" vertical="center"/>
    </xf>
    <xf numFmtId="166" fontId="37" fillId="17" borderId="0" xfId="1" applyNumberFormat="1" applyFont="1" applyFill="1" applyAlignment="1">
      <alignment vertical="center"/>
    </xf>
    <xf numFmtId="166" fontId="37" fillId="17" borderId="40" xfId="1" applyNumberFormat="1" applyFont="1" applyFill="1" applyBorder="1" applyAlignment="1">
      <alignment vertical="center"/>
    </xf>
    <xf numFmtId="166" fontId="69" fillId="16" borderId="13" xfId="1" applyNumberFormat="1" applyFont="1" applyFill="1" applyBorder="1" applyAlignment="1">
      <alignment vertical="center"/>
    </xf>
    <xf numFmtId="166" fontId="69" fillId="16" borderId="13" xfId="2" applyNumberFormat="1" applyFont="1" applyFill="1" applyBorder="1" applyAlignment="1">
      <alignment vertical="center"/>
    </xf>
    <xf numFmtId="166" fontId="32" fillId="17" borderId="0" xfId="1" applyNumberFormat="1" applyFont="1" applyFill="1" applyAlignment="1">
      <alignment vertical="center"/>
    </xf>
    <xf numFmtId="166" fontId="32" fillId="17" borderId="40" xfId="1" applyNumberFormat="1" applyFont="1" applyFill="1" applyBorder="1" applyAlignment="1">
      <alignment vertical="center"/>
    </xf>
    <xf numFmtId="166" fontId="36" fillId="17" borderId="13" xfId="1" applyNumberFormat="1" applyFont="1" applyFill="1" applyBorder="1" applyAlignment="1">
      <alignment vertical="center"/>
    </xf>
    <xf numFmtId="166" fontId="70" fillId="17" borderId="13" xfId="2" applyNumberFormat="1" applyFont="1" applyFill="1" applyBorder="1" applyAlignment="1">
      <alignment vertical="center"/>
    </xf>
    <xf numFmtId="174" fontId="32" fillId="17" borderId="0" xfId="0" applyNumberFormat="1" applyFont="1" applyFill="1" applyAlignment="1">
      <alignment vertical="center"/>
    </xf>
    <xf numFmtId="174" fontId="32" fillId="17" borderId="40" xfId="0" applyNumberFormat="1" applyFont="1" applyFill="1" applyBorder="1" applyAlignment="1">
      <alignment vertical="center"/>
    </xf>
    <xf numFmtId="174" fontId="70" fillId="16" borderId="13" xfId="1" applyNumberFormat="1" applyFont="1" applyFill="1" applyBorder="1" applyAlignment="1">
      <alignment vertical="center"/>
    </xf>
    <xf numFmtId="174" fontId="32" fillId="17" borderId="0" xfId="1" applyNumberFormat="1" applyFont="1" applyFill="1" applyAlignment="1">
      <alignment vertical="center"/>
    </xf>
    <xf numFmtId="174" fontId="32" fillId="17" borderId="40" xfId="1" applyNumberFormat="1" applyFont="1" applyFill="1" applyBorder="1" applyAlignment="1">
      <alignment vertical="center"/>
    </xf>
    <xf numFmtId="174" fontId="37" fillId="17" borderId="0" xfId="1" applyNumberFormat="1" applyFont="1" applyFill="1" applyAlignment="1">
      <alignment vertical="center"/>
    </xf>
    <xf numFmtId="174" fontId="37" fillId="17" borderId="40" xfId="1" applyNumberFormat="1" applyFont="1" applyFill="1" applyBorder="1" applyAlignment="1">
      <alignment vertical="center"/>
    </xf>
    <xf numFmtId="174" fontId="69" fillId="16" borderId="13" xfId="1" applyNumberFormat="1" applyFont="1" applyFill="1" applyBorder="1" applyAlignment="1">
      <alignment vertical="center"/>
    </xf>
    <xf numFmtId="166" fontId="32" fillId="17" borderId="0" xfId="0" applyNumberFormat="1" applyFont="1" applyFill="1" applyAlignment="1">
      <alignment vertical="center"/>
    </xf>
    <xf numFmtId="166" fontId="32" fillId="17" borderId="40" xfId="0" applyNumberFormat="1" applyFont="1" applyFill="1" applyBorder="1" applyAlignment="1">
      <alignment vertical="center"/>
    </xf>
    <xf numFmtId="166" fontId="69" fillId="17" borderId="13" xfId="2" applyNumberFormat="1" applyFont="1" applyFill="1" applyBorder="1" applyAlignment="1">
      <alignment vertical="center"/>
    </xf>
    <xf numFmtId="176" fontId="32" fillId="17" borderId="0" xfId="1" applyNumberFormat="1" applyFont="1" applyFill="1" applyAlignment="1">
      <alignment vertical="center"/>
    </xf>
    <xf numFmtId="176" fontId="32" fillId="17" borderId="40" xfId="1" applyNumberFormat="1" applyFont="1" applyFill="1" applyBorder="1" applyAlignment="1">
      <alignment vertical="center"/>
    </xf>
    <xf numFmtId="176" fontId="70" fillId="16" borderId="13" xfId="1" applyNumberFormat="1" applyFont="1" applyFill="1" applyBorder="1" applyAlignment="1">
      <alignment vertical="center"/>
    </xf>
    <xf numFmtId="10" fontId="71" fillId="16" borderId="13" xfId="1" applyNumberFormat="1" applyFont="1" applyFill="1" applyBorder="1" applyAlignment="1">
      <alignment vertical="center"/>
    </xf>
    <xf numFmtId="9" fontId="37" fillId="17" borderId="0" xfId="2" applyFont="1" applyFill="1" applyBorder="1" applyAlignment="1">
      <alignment vertical="center"/>
    </xf>
    <xf numFmtId="0" fontId="32" fillId="17" borderId="10" xfId="0" applyFont="1" applyFill="1" applyBorder="1" applyAlignment="1">
      <alignment horizontal="left" vertical="center"/>
    </xf>
    <xf numFmtId="170" fontId="32" fillId="17" borderId="0" xfId="1" applyNumberFormat="1" applyFont="1" applyFill="1" applyBorder="1" applyAlignment="1">
      <alignment vertical="center"/>
    </xf>
    <xf numFmtId="0" fontId="32" fillId="17" borderId="10" xfId="0" applyFont="1" applyFill="1" applyBorder="1" applyAlignment="1">
      <alignment vertical="center"/>
    </xf>
    <xf numFmtId="166" fontId="32" fillId="17" borderId="0" xfId="2" applyNumberFormat="1" applyFont="1" applyFill="1" applyAlignment="1">
      <alignment vertical="center"/>
    </xf>
    <xf numFmtId="166" fontId="32" fillId="17" borderId="0" xfId="2" applyNumberFormat="1" applyFont="1" applyFill="1" applyBorder="1" applyAlignment="1">
      <alignment vertical="center"/>
    </xf>
    <xf numFmtId="165" fontId="37" fillId="17" borderId="0" xfId="1" applyNumberFormat="1" applyFont="1" applyFill="1" applyAlignment="1">
      <alignment vertical="center"/>
    </xf>
    <xf numFmtId="165" fontId="37" fillId="17" borderId="0" xfId="1" applyNumberFormat="1" applyFont="1" applyFill="1" applyBorder="1" applyAlignment="1">
      <alignment vertical="center"/>
    </xf>
    <xf numFmtId="43" fontId="32" fillId="17" borderId="0" xfId="1" applyFont="1" applyFill="1" applyAlignment="1">
      <alignment vertical="center"/>
    </xf>
    <xf numFmtId="43" fontId="32" fillId="17" borderId="0" xfId="1" applyFont="1" applyFill="1" applyBorder="1" applyAlignment="1">
      <alignment vertical="center"/>
    </xf>
    <xf numFmtId="166" fontId="32" fillId="17" borderId="0" xfId="2" applyNumberFormat="1" applyFont="1" applyFill="1" applyBorder="1" applyAlignment="1">
      <alignment horizontal="right" vertical="center"/>
    </xf>
    <xf numFmtId="0" fontId="32" fillId="17" borderId="30" xfId="0" applyFont="1" applyFill="1" applyBorder="1" applyAlignment="1">
      <alignment vertical="center"/>
    </xf>
    <xf numFmtId="43" fontId="32" fillId="17" borderId="16" xfId="1" applyFont="1" applyFill="1" applyBorder="1" applyAlignment="1">
      <alignment vertical="center"/>
    </xf>
    <xf numFmtId="165" fontId="32" fillId="17" borderId="16" xfId="1" applyNumberFormat="1" applyFont="1" applyFill="1" applyBorder="1" applyAlignment="1">
      <alignment vertical="center"/>
    </xf>
    <xf numFmtId="0" fontId="32" fillId="17" borderId="31" xfId="0" applyFont="1" applyFill="1" applyBorder="1" applyAlignment="1">
      <alignment horizontal="left" vertical="center"/>
    </xf>
    <xf numFmtId="0" fontId="32" fillId="17" borderId="24" xfId="0" applyFont="1" applyFill="1" applyBorder="1" applyAlignment="1">
      <alignment vertical="center"/>
    </xf>
    <xf numFmtId="166" fontId="37" fillId="17" borderId="0" xfId="2" applyNumberFormat="1" applyFont="1" applyFill="1" applyAlignment="1">
      <alignment vertical="center"/>
    </xf>
    <xf numFmtId="43" fontId="37" fillId="17" borderId="0" xfId="1" applyFont="1" applyFill="1" applyAlignment="1">
      <alignment vertical="center"/>
    </xf>
    <xf numFmtId="0" fontId="32" fillId="17" borderId="14" xfId="0" applyFont="1" applyFill="1" applyBorder="1" applyAlignment="1">
      <alignment horizontal="left" vertical="center"/>
    </xf>
    <xf numFmtId="1" fontId="33" fillId="13" borderId="10" xfId="0" applyNumberFormat="1" applyFont="1" applyFill="1" applyBorder="1" applyAlignment="1">
      <alignment horizontal="center" vertical="center" wrapText="1"/>
    </xf>
    <xf numFmtId="168" fontId="33" fillId="13" borderId="1" xfId="0" applyNumberFormat="1" applyFont="1" applyFill="1" applyBorder="1" applyAlignment="1">
      <alignment horizontal="center" vertical="center" wrapText="1"/>
    </xf>
    <xf numFmtId="168" fontId="43" fillId="19" borderId="40" xfId="0" applyNumberFormat="1" applyFont="1" applyFill="1" applyBorder="1" applyAlignment="1">
      <alignment horizontal="left" vertical="center"/>
    </xf>
    <xf numFmtId="168" fontId="43" fillId="19" borderId="0" xfId="0" applyNumberFormat="1" applyFont="1" applyFill="1" applyAlignment="1">
      <alignment horizontal="left" vertical="center"/>
    </xf>
    <xf numFmtId="0" fontId="42" fillId="14" borderId="0" xfId="0" applyFont="1" applyFill="1" applyAlignment="1">
      <alignment horizontal="center" vertical="center"/>
    </xf>
    <xf numFmtId="0" fontId="42" fillId="14" borderId="15" xfId="0" applyFont="1" applyFill="1" applyBorder="1" applyAlignment="1">
      <alignment horizontal="left" vertical="center"/>
    </xf>
    <xf numFmtId="176" fontId="42" fillId="14" borderId="0" xfId="0" applyNumberFormat="1" applyFont="1" applyFill="1" applyAlignment="1">
      <alignment horizontal="left" vertical="center"/>
    </xf>
    <xf numFmtId="176" fontId="42" fillId="14" borderId="0" xfId="1" applyNumberFormat="1" applyFont="1" applyFill="1" applyAlignment="1">
      <alignment horizontal="left" vertical="center"/>
    </xf>
    <xf numFmtId="0" fontId="42" fillId="14" borderId="19" xfId="0" applyFont="1" applyFill="1" applyBorder="1" applyAlignment="1">
      <alignment horizontal="left" vertical="center"/>
    </xf>
    <xf numFmtId="0" fontId="42" fillId="14" borderId="40" xfId="0" applyFont="1" applyFill="1" applyBorder="1" applyAlignment="1">
      <alignment horizontal="left" vertical="center"/>
    </xf>
    <xf numFmtId="0" fontId="39" fillId="14" borderId="10" xfId="0" applyFont="1" applyFill="1" applyBorder="1" applyAlignment="1">
      <alignment horizontal="left" vertical="center"/>
    </xf>
    <xf numFmtId="0" fontId="39" fillId="14" borderId="15" xfId="0" applyFont="1" applyFill="1" applyBorder="1" applyAlignment="1">
      <alignment horizontal="left" vertical="center"/>
    </xf>
    <xf numFmtId="165" fontId="39" fillId="14" borderId="0" xfId="1" applyNumberFormat="1" applyFont="1" applyFill="1" applyAlignment="1">
      <alignment horizontal="left" vertical="center"/>
    </xf>
    <xf numFmtId="165" fontId="39" fillId="14" borderId="0" xfId="1" applyNumberFormat="1" applyFont="1" applyFill="1" applyBorder="1" applyAlignment="1">
      <alignment horizontal="left" vertical="center"/>
    </xf>
    <xf numFmtId="0" fontId="46" fillId="8" borderId="1" xfId="0" applyFont="1" applyFill="1" applyBorder="1" applyAlignment="1">
      <alignment vertical="center" wrapText="1"/>
    </xf>
    <xf numFmtId="0" fontId="46" fillId="8" borderId="0" xfId="0" applyFont="1" applyFill="1" applyAlignment="1">
      <alignment vertical="center" wrapText="1"/>
    </xf>
    <xf numFmtId="0" fontId="44" fillId="0" borderId="0" xfId="0" applyFont="1" applyAlignment="1">
      <alignment vertical="center" wrapText="1"/>
    </xf>
    <xf numFmtId="176" fontId="44" fillId="0" borderId="0" xfId="0" applyNumberFormat="1" applyFont="1" applyAlignment="1">
      <alignment vertical="center" wrapText="1"/>
    </xf>
    <xf numFmtId="0" fontId="63" fillId="8" borderId="2" xfId="0" applyFont="1" applyFill="1" applyBorder="1" applyAlignment="1">
      <alignment horizontal="right" vertical="center" wrapText="1"/>
    </xf>
    <xf numFmtId="0" fontId="63" fillId="8" borderId="0" xfId="0" applyFont="1" applyFill="1" applyAlignment="1">
      <alignment horizontal="right" vertical="center" wrapText="1"/>
    </xf>
    <xf numFmtId="49" fontId="46" fillId="0" borderId="0" xfId="0" applyNumberFormat="1" applyFont="1" applyAlignment="1">
      <alignment vertical="center" wrapText="1"/>
    </xf>
    <xf numFmtId="49" fontId="46" fillId="0" borderId="0" xfId="0" applyNumberFormat="1" applyFont="1" applyAlignment="1">
      <alignment horizontal="right" vertical="center" wrapText="1"/>
    </xf>
    <xf numFmtId="164" fontId="58" fillId="5" borderId="1" xfId="0" applyNumberFormat="1" applyFont="1" applyFill="1" applyBorder="1" applyAlignment="1">
      <alignment vertical="center" wrapText="1"/>
    </xf>
    <xf numFmtId="184" fontId="58" fillId="5" borderId="0" xfId="0" applyNumberFormat="1" applyFont="1" applyFill="1"/>
    <xf numFmtId="164" fontId="68" fillId="0" borderId="0" xfId="0" applyNumberFormat="1" applyFont="1" applyAlignment="1">
      <alignment vertical="center" wrapText="1"/>
    </xf>
    <xf numFmtId="184" fontId="68" fillId="0" borderId="0" xfId="0" applyNumberFormat="1" applyFont="1"/>
    <xf numFmtId="164" fontId="46" fillId="0" borderId="0" xfId="0" applyNumberFormat="1" applyFont="1" applyAlignment="1">
      <alignment vertical="center" wrapText="1"/>
    </xf>
    <xf numFmtId="184" fontId="46" fillId="0" borderId="0" xfId="0" applyNumberFormat="1" applyFont="1"/>
    <xf numFmtId="184" fontId="46" fillId="0" borderId="0" xfId="1" applyNumberFormat="1" applyFont="1" applyAlignment="1">
      <alignment vertical="center" wrapText="1"/>
    </xf>
    <xf numFmtId="164" fontId="58" fillId="5" borderId="0" xfId="0" applyNumberFormat="1" applyFont="1" applyFill="1" applyAlignment="1">
      <alignment vertical="center" wrapText="1"/>
    </xf>
    <xf numFmtId="184" fontId="72" fillId="0" borderId="0" xfId="0" applyNumberFormat="1" applyFont="1"/>
    <xf numFmtId="164" fontId="58" fillId="9" borderId="0" xfId="0" applyNumberFormat="1" applyFont="1" applyFill="1" applyAlignment="1">
      <alignment vertical="center" wrapText="1"/>
    </xf>
    <xf numFmtId="184" fontId="58" fillId="9" borderId="0" xfId="0" applyNumberFormat="1" applyFont="1" applyFill="1"/>
    <xf numFmtId="184" fontId="46" fillId="9" borderId="0" xfId="0" applyNumberFormat="1" applyFont="1" applyFill="1"/>
    <xf numFmtId="164" fontId="58" fillId="8" borderId="0" xfId="0" applyNumberFormat="1" applyFont="1" applyFill="1" applyAlignment="1">
      <alignment vertical="center" wrapText="1"/>
    </xf>
    <xf numFmtId="184" fontId="58" fillId="8" borderId="0" xfId="0" applyNumberFormat="1" applyFont="1" applyFill="1"/>
    <xf numFmtId="164" fontId="58" fillId="10" borderId="0" xfId="0" applyNumberFormat="1" applyFont="1" applyFill="1" applyAlignment="1">
      <alignment vertical="center" wrapText="1"/>
    </xf>
    <xf numFmtId="184" fontId="46" fillId="10" borderId="0" xfId="0" applyNumberFormat="1" applyFont="1" applyFill="1"/>
    <xf numFmtId="164" fontId="58" fillId="9" borderId="8" xfId="0" applyNumberFormat="1" applyFont="1" applyFill="1" applyBorder="1" applyAlignment="1">
      <alignment vertical="center" wrapText="1"/>
    </xf>
    <xf numFmtId="165" fontId="46" fillId="2" borderId="1" xfId="1" applyNumberFormat="1" applyFont="1" applyFill="1" applyBorder="1" applyAlignment="1">
      <alignment vertical="center" wrapText="1"/>
    </xf>
    <xf numFmtId="165" fontId="46" fillId="0" borderId="1" xfId="1" applyNumberFormat="1" applyFont="1" applyBorder="1" applyAlignment="1">
      <alignment vertical="center" wrapText="1"/>
    </xf>
    <xf numFmtId="183" fontId="46" fillId="0" borderId="1" xfId="1" applyNumberFormat="1" applyFont="1" applyBorder="1" applyAlignment="1">
      <alignment horizontal="center" vertical="center" wrapText="1"/>
    </xf>
    <xf numFmtId="183" fontId="46" fillId="0" borderId="4" xfId="1" applyNumberFormat="1" applyFont="1" applyBorder="1" applyAlignment="1">
      <alignment horizontal="center" vertical="center" wrapText="1"/>
    </xf>
    <xf numFmtId="183" fontId="46" fillId="0" borderId="0" xfId="1" applyNumberFormat="1" applyFont="1" applyBorder="1" applyAlignment="1">
      <alignment horizontal="center" vertical="center" wrapText="1"/>
    </xf>
    <xf numFmtId="165" fontId="46" fillId="2" borderId="0" xfId="1" applyNumberFormat="1" applyFont="1" applyFill="1" applyBorder="1" applyAlignment="1">
      <alignment vertical="center" wrapText="1"/>
    </xf>
    <xf numFmtId="165" fontId="46" fillId="0" borderId="0" xfId="1" applyNumberFormat="1" applyFont="1" applyBorder="1" applyAlignment="1">
      <alignment vertical="center" wrapText="1"/>
    </xf>
    <xf numFmtId="183" fontId="46" fillId="0" borderId="6" xfId="1" applyNumberFormat="1" applyFont="1" applyBorder="1" applyAlignment="1">
      <alignment horizontal="center" vertical="center" wrapText="1"/>
    </xf>
    <xf numFmtId="165" fontId="46" fillId="2" borderId="8" xfId="1" applyNumberFormat="1" applyFont="1" applyFill="1" applyBorder="1" applyAlignment="1">
      <alignment vertical="center" wrapText="1"/>
    </xf>
    <xf numFmtId="165" fontId="46" fillId="0" borderId="8" xfId="1" applyNumberFormat="1" applyFont="1" applyBorder="1" applyAlignment="1">
      <alignment vertical="center" wrapText="1"/>
    </xf>
    <xf numFmtId="183" fontId="46" fillId="0" borderId="8" xfId="1" applyNumberFormat="1" applyFont="1" applyBorder="1" applyAlignment="1">
      <alignment horizontal="center" vertical="center" wrapText="1"/>
    </xf>
    <xf numFmtId="183" fontId="46" fillId="0" borderId="9" xfId="1" applyNumberFormat="1" applyFont="1" applyBorder="1" applyAlignment="1">
      <alignment horizontal="center" vertical="center" wrapText="1"/>
    </xf>
    <xf numFmtId="164" fontId="58" fillId="5" borderId="10" xfId="0" applyNumberFormat="1" applyFont="1" applyFill="1" applyBorder="1" applyAlignment="1">
      <alignment vertical="center" wrapText="1"/>
    </xf>
    <xf numFmtId="176" fontId="58" fillId="5" borderId="10" xfId="0" applyNumberFormat="1" applyFont="1" applyFill="1" applyBorder="1"/>
    <xf numFmtId="176" fontId="68" fillId="0" borderId="0" xfId="0" applyNumberFormat="1" applyFont="1"/>
    <xf numFmtId="176" fontId="46" fillId="0" borderId="0" xfId="0" applyNumberFormat="1" applyFont="1"/>
    <xf numFmtId="176" fontId="58" fillId="5" borderId="0" xfId="0" applyNumberFormat="1" applyFont="1" applyFill="1"/>
    <xf numFmtId="176" fontId="72" fillId="0" borderId="0" xfId="0" applyNumberFormat="1" applyFont="1"/>
    <xf numFmtId="176" fontId="46" fillId="9" borderId="0" xfId="0" applyNumberFormat="1" applyFont="1" applyFill="1"/>
    <xf numFmtId="176" fontId="58" fillId="9" borderId="0" xfId="0" applyNumberFormat="1" applyFont="1" applyFill="1"/>
    <xf numFmtId="176" fontId="58" fillId="8" borderId="0" xfId="0" applyNumberFormat="1" applyFont="1" applyFill="1"/>
    <xf numFmtId="176" fontId="46" fillId="10" borderId="0" xfId="0" applyNumberFormat="1" applyFont="1" applyFill="1"/>
    <xf numFmtId="164" fontId="58" fillId="11" borderId="0" xfId="0" applyNumberFormat="1" applyFont="1" applyFill="1" applyAlignment="1">
      <alignment vertical="center" wrapText="1"/>
    </xf>
    <xf numFmtId="0" fontId="44" fillId="0" borderId="0" xfId="0" applyFont="1" applyAlignment="1">
      <alignment vertical="center"/>
    </xf>
    <xf numFmtId="176" fontId="44" fillId="0" borderId="0" xfId="0" applyNumberFormat="1" applyFont="1" applyAlignment="1">
      <alignment vertical="center"/>
    </xf>
    <xf numFmtId="49" fontId="46" fillId="0" borderId="0" xfId="0" applyNumberFormat="1" applyFont="1" applyAlignment="1">
      <alignment horizontal="right" vertical="center"/>
    </xf>
    <xf numFmtId="164" fontId="46" fillId="0" borderId="1" xfId="0" applyNumberFormat="1" applyFont="1" applyBorder="1" applyAlignment="1">
      <alignment vertical="center" wrapText="1"/>
    </xf>
    <xf numFmtId="184" fontId="73" fillId="5" borderId="0" xfId="0" applyNumberFormat="1" applyFont="1" applyFill="1"/>
    <xf numFmtId="164" fontId="60" fillId="0" borderId="0" xfId="0" applyNumberFormat="1" applyFont="1" applyAlignment="1">
      <alignment vertical="center" wrapText="1"/>
    </xf>
    <xf numFmtId="164" fontId="60" fillId="0" borderId="8" xfId="0" applyNumberFormat="1" applyFont="1" applyBorder="1" applyAlignment="1">
      <alignment vertical="center" wrapText="1"/>
    </xf>
    <xf numFmtId="165" fontId="46" fillId="2" borderId="3" xfId="1" applyNumberFormat="1" applyFont="1" applyFill="1" applyBorder="1" applyAlignment="1">
      <alignment vertical="center" wrapText="1"/>
    </xf>
    <xf numFmtId="165" fontId="46" fillId="2" borderId="5" xfId="1" applyNumberFormat="1" applyFont="1" applyFill="1" applyBorder="1" applyAlignment="1">
      <alignment vertical="center" wrapText="1"/>
    </xf>
    <xf numFmtId="165" fontId="46" fillId="2" borderId="7" xfId="1" applyNumberFormat="1" applyFont="1" applyFill="1" applyBorder="1" applyAlignment="1">
      <alignment vertical="center" wrapText="1"/>
    </xf>
    <xf numFmtId="0" fontId="58" fillId="8" borderId="1" xfId="0" applyFont="1" applyFill="1" applyBorder="1" applyAlignment="1">
      <alignment vertical="center" wrapText="1"/>
    </xf>
    <xf numFmtId="0" fontId="58" fillId="8" borderId="0" xfId="0" applyFont="1" applyFill="1" applyAlignment="1">
      <alignment vertical="center" wrapText="1"/>
    </xf>
    <xf numFmtId="184" fontId="44" fillId="0" borderId="0" xfId="0" applyNumberFormat="1" applyFont="1" applyAlignment="1">
      <alignment wrapText="1"/>
    </xf>
    <xf numFmtId="176" fontId="44" fillId="0" borderId="0" xfId="0" applyNumberFormat="1" applyFont="1" applyAlignment="1">
      <alignment wrapText="1"/>
    </xf>
    <xf numFmtId="164" fontId="68" fillId="0" borderId="1" xfId="0" applyNumberFormat="1" applyFont="1" applyBorder="1" applyAlignment="1">
      <alignment vertical="center" wrapText="1"/>
    </xf>
    <xf numFmtId="164" fontId="46" fillId="0" borderId="0" xfId="0" applyNumberFormat="1" applyFont="1" applyAlignment="1">
      <alignment vertical="center"/>
    </xf>
    <xf numFmtId="164" fontId="73" fillId="5" borderId="0" xfId="0" applyNumberFormat="1" applyFont="1" applyFill="1" applyAlignment="1">
      <alignment vertical="center" wrapText="1"/>
    </xf>
    <xf numFmtId="184" fontId="74" fillId="5" borderId="0" xfId="0" applyNumberFormat="1" applyFont="1" applyFill="1"/>
    <xf numFmtId="164" fontId="58" fillId="0" borderId="0" xfId="0" applyNumberFormat="1" applyFont="1" applyAlignment="1">
      <alignment vertical="center" wrapText="1"/>
    </xf>
    <xf numFmtId="164" fontId="58" fillId="0" borderId="8" xfId="0" applyNumberFormat="1" applyFont="1" applyBorder="1" applyAlignment="1">
      <alignment vertical="center" wrapText="1"/>
    </xf>
    <xf numFmtId="165" fontId="46" fillId="0" borderId="1" xfId="1" applyNumberFormat="1" applyFont="1" applyBorder="1" applyAlignment="1">
      <alignment wrapText="1"/>
    </xf>
    <xf numFmtId="183" fontId="46" fillId="0" borderId="1" xfId="1" applyNumberFormat="1" applyFont="1" applyBorder="1" applyAlignment="1">
      <alignment horizontal="center" wrapText="1"/>
    </xf>
    <xf numFmtId="183" fontId="46" fillId="0" borderId="4" xfId="1" applyNumberFormat="1" applyFont="1" applyBorder="1" applyAlignment="1">
      <alignment horizontal="center" wrapText="1"/>
    </xf>
    <xf numFmtId="183" fontId="46" fillId="0" borderId="0" xfId="1" applyNumberFormat="1" applyFont="1" applyBorder="1" applyAlignment="1">
      <alignment horizontal="center" wrapText="1"/>
    </xf>
    <xf numFmtId="165" fontId="46" fillId="0" borderId="0" xfId="1" applyNumberFormat="1" applyFont="1" applyBorder="1" applyAlignment="1">
      <alignment wrapText="1"/>
    </xf>
    <xf numFmtId="183" fontId="46" fillId="0" borderId="6" xfId="1" applyNumberFormat="1" applyFont="1" applyBorder="1" applyAlignment="1">
      <alignment horizontal="center" wrapText="1"/>
    </xf>
    <xf numFmtId="165" fontId="46" fillId="0" borderId="8" xfId="1" applyNumberFormat="1" applyFont="1" applyBorder="1" applyAlignment="1">
      <alignment wrapText="1"/>
    </xf>
    <xf numFmtId="183" fontId="46" fillId="0" borderId="8" xfId="1" applyNumberFormat="1" applyFont="1" applyBorder="1" applyAlignment="1">
      <alignment horizontal="center" wrapText="1"/>
    </xf>
    <xf numFmtId="183" fontId="46" fillId="0" borderId="9" xfId="1" applyNumberFormat="1" applyFont="1" applyBorder="1" applyAlignment="1">
      <alignment horizontal="center" wrapText="1"/>
    </xf>
    <xf numFmtId="176" fontId="44" fillId="0" borderId="0" xfId="0" applyNumberFormat="1" applyFont="1"/>
    <xf numFmtId="176" fontId="44" fillId="0" borderId="0" xfId="1" applyNumberFormat="1" applyFont="1"/>
    <xf numFmtId="176" fontId="68" fillId="0" borderId="1" xfId="1" applyNumberFormat="1" applyFont="1" applyBorder="1" applyAlignment="1">
      <alignment vertical="center" wrapText="1"/>
    </xf>
    <xf numFmtId="176" fontId="68" fillId="0" borderId="0" xfId="1" applyNumberFormat="1" applyFont="1" applyBorder="1" applyAlignment="1">
      <alignment vertical="center" wrapText="1"/>
    </xf>
    <xf numFmtId="176" fontId="46" fillId="0" borderId="0" xfId="1" applyNumberFormat="1" applyFont="1" applyAlignment="1">
      <alignment vertical="center" wrapText="1"/>
    </xf>
    <xf numFmtId="176" fontId="68" fillId="0" borderId="0" xfId="1" applyNumberFormat="1" applyFont="1" applyAlignment="1">
      <alignment vertical="center" wrapText="1"/>
    </xf>
    <xf numFmtId="165" fontId="46" fillId="0" borderId="0" xfId="1" applyNumberFormat="1" applyFont="1" applyAlignment="1">
      <alignment vertical="center" wrapText="1"/>
    </xf>
    <xf numFmtId="165" fontId="68" fillId="0" borderId="0" xfId="1" applyNumberFormat="1" applyFont="1" applyAlignment="1">
      <alignment vertical="center" wrapText="1"/>
    </xf>
    <xf numFmtId="164" fontId="46" fillId="0" borderId="8" xfId="0" applyNumberFormat="1" applyFont="1" applyBorder="1" applyAlignment="1">
      <alignment vertical="center" wrapText="1"/>
    </xf>
    <xf numFmtId="176" fontId="46" fillId="0" borderId="8" xfId="1" applyNumberFormat="1" applyFont="1" applyBorder="1" applyAlignment="1">
      <alignment vertical="center" wrapText="1"/>
    </xf>
    <xf numFmtId="176" fontId="46" fillId="0" borderId="0" xfId="1" applyNumberFormat="1" applyFont="1" applyBorder="1" applyAlignment="1">
      <alignment vertical="center" wrapText="1"/>
    </xf>
    <xf numFmtId="164" fontId="58" fillId="3" borderId="0" xfId="0" applyNumberFormat="1" applyFont="1" applyFill="1" applyAlignment="1">
      <alignment vertical="center" wrapText="1"/>
    </xf>
    <xf numFmtId="0" fontId="58" fillId="11" borderId="0" xfId="0" applyFont="1" applyFill="1" applyAlignment="1">
      <alignment vertical="center"/>
    </xf>
    <xf numFmtId="0" fontId="68" fillId="0" borderId="1" xfId="0" applyFont="1" applyBorder="1" applyAlignment="1">
      <alignment horizontal="left" vertical="center" wrapText="1"/>
    </xf>
    <xf numFmtId="14" fontId="46" fillId="12" borderId="1" xfId="0" applyNumberFormat="1" applyFont="1" applyFill="1" applyBorder="1" applyAlignment="1">
      <alignment vertical="center" wrapText="1"/>
    </xf>
    <xf numFmtId="0" fontId="46" fillId="5" borderId="0" xfId="0" applyFont="1" applyFill="1" applyAlignment="1">
      <alignment vertical="center"/>
    </xf>
    <xf numFmtId="0" fontId="58" fillId="0" borderId="2" xfId="0" applyFont="1" applyBorder="1" applyAlignment="1">
      <alignment horizontal="left" vertical="center" wrapText="1"/>
    </xf>
    <xf numFmtId="0" fontId="63" fillId="12" borderId="2" xfId="0" applyFont="1" applyFill="1" applyBorder="1" applyAlignment="1">
      <alignment horizontal="right" vertical="center" wrapText="1"/>
    </xf>
    <xf numFmtId="0" fontId="58" fillId="21" borderId="25" xfId="0" applyFont="1" applyFill="1" applyBorder="1" applyAlignment="1">
      <alignment horizontal="left" vertical="center"/>
    </xf>
    <xf numFmtId="0" fontId="58" fillId="21" borderId="18" xfId="0" applyFont="1" applyFill="1" applyBorder="1" applyAlignment="1">
      <alignment vertical="center"/>
    </xf>
    <xf numFmtId="0" fontId="58" fillId="21" borderId="26" xfId="0" applyFont="1" applyFill="1" applyBorder="1" applyAlignment="1">
      <alignment vertical="center"/>
    </xf>
    <xf numFmtId="0" fontId="46" fillId="7" borderId="14" xfId="0" applyFont="1" applyFill="1" applyBorder="1" applyAlignment="1">
      <alignment vertical="center"/>
    </xf>
    <xf numFmtId="0" fontId="46" fillId="7" borderId="14" xfId="0" applyFont="1" applyFill="1" applyBorder="1" applyAlignment="1">
      <alignment horizontal="left" vertical="center"/>
    </xf>
    <xf numFmtId="3" fontId="46" fillId="7" borderId="14" xfId="1" applyNumberFormat="1" applyFont="1" applyFill="1" applyBorder="1" applyAlignment="1">
      <alignment vertical="center"/>
    </xf>
    <xf numFmtId="3" fontId="46" fillId="7" borderId="14" xfId="0" applyNumberFormat="1" applyFont="1" applyFill="1" applyBorder="1" applyAlignment="1">
      <alignment vertical="center"/>
    </xf>
    <xf numFmtId="0" fontId="46" fillId="7" borderId="10" xfId="0" applyFont="1" applyFill="1" applyBorder="1" applyAlignment="1">
      <alignment vertical="center"/>
    </xf>
    <xf numFmtId="0" fontId="46" fillId="7" borderId="10" xfId="0" applyFont="1" applyFill="1" applyBorder="1" applyAlignment="1">
      <alignment horizontal="left" vertical="center"/>
    </xf>
    <xf numFmtId="3" fontId="46" fillId="7" borderId="10" xfId="1" applyNumberFormat="1" applyFont="1" applyFill="1" applyBorder="1" applyAlignment="1">
      <alignment horizontal="center" vertical="center"/>
    </xf>
    <xf numFmtId="3" fontId="46" fillId="7" borderId="10" xfId="0" applyNumberFormat="1" applyFont="1" applyFill="1" applyBorder="1" applyAlignment="1">
      <alignment vertical="center"/>
    </xf>
    <xf numFmtId="0" fontId="46" fillId="7" borderId="10" xfId="0" applyFont="1" applyFill="1" applyBorder="1" applyAlignment="1">
      <alignment horizontal="left" vertical="center" wrapText="1"/>
    </xf>
    <xf numFmtId="4" fontId="46" fillId="7" borderId="10" xfId="1" applyNumberFormat="1" applyFont="1" applyFill="1" applyBorder="1" applyAlignment="1">
      <alignment vertical="center"/>
    </xf>
    <xf numFmtId="4" fontId="46" fillId="7" borderId="10" xfId="0" applyNumberFormat="1" applyFont="1" applyFill="1" applyBorder="1" applyAlignment="1">
      <alignment vertical="center"/>
    </xf>
    <xf numFmtId="179" fontId="46" fillId="7" borderId="10" xfId="1" applyNumberFormat="1" applyFont="1" applyFill="1" applyBorder="1" applyAlignment="1">
      <alignment vertical="center"/>
    </xf>
    <xf numFmtId="179" fontId="46" fillId="7" borderId="10" xfId="0" applyNumberFormat="1" applyFont="1" applyFill="1" applyBorder="1" applyAlignment="1">
      <alignment vertical="center"/>
    </xf>
    <xf numFmtId="180" fontId="46" fillId="7" borderId="10" xfId="1" applyNumberFormat="1" applyFont="1" applyFill="1" applyBorder="1" applyAlignment="1">
      <alignment vertical="center"/>
    </xf>
    <xf numFmtId="180" fontId="46" fillId="7" borderId="10" xfId="0" applyNumberFormat="1" applyFont="1" applyFill="1" applyBorder="1" applyAlignment="1">
      <alignment vertical="center"/>
    </xf>
    <xf numFmtId="10" fontId="46" fillId="7" borderId="10" xfId="1" applyNumberFormat="1" applyFont="1" applyFill="1" applyBorder="1" applyAlignment="1">
      <alignment vertical="center"/>
    </xf>
    <xf numFmtId="10" fontId="46" fillId="7" borderId="10" xfId="0" applyNumberFormat="1" applyFont="1" applyFill="1" applyBorder="1" applyAlignment="1">
      <alignment vertical="center"/>
    </xf>
    <xf numFmtId="3" fontId="46" fillId="7" borderId="10" xfId="1" applyNumberFormat="1" applyFont="1" applyFill="1" applyBorder="1" applyAlignment="1">
      <alignment vertical="center"/>
    </xf>
    <xf numFmtId="0" fontId="46" fillId="7" borderId="12" xfId="0" applyFont="1" applyFill="1" applyBorder="1" applyAlignment="1">
      <alignment vertical="center"/>
    </xf>
    <xf numFmtId="0" fontId="46" fillId="7" borderId="12" xfId="0" applyFont="1" applyFill="1" applyBorder="1" applyAlignment="1">
      <alignment horizontal="left" vertical="center"/>
    </xf>
    <xf numFmtId="0" fontId="58" fillId="21" borderId="27" xfId="0" applyFont="1" applyFill="1" applyBorder="1" applyAlignment="1">
      <alignment horizontal="left" vertical="center"/>
    </xf>
    <xf numFmtId="0" fontId="58" fillId="21" borderId="28" xfId="0" applyFont="1" applyFill="1" applyBorder="1" applyAlignment="1">
      <alignment vertical="center"/>
    </xf>
    <xf numFmtId="0" fontId="58" fillId="21" borderId="29" xfId="0" applyFont="1" applyFill="1" applyBorder="1" applyAlignment="1">
      <alignment vertical="center"/>
    </xf>
    <xf numFmtId="0" fontId="58" fillId="7" borderId="14" xfId="0" applyFont="1" applyFill="1" applyBorder="1" applyAlignment="1">
      <alignment vertical="center"/>
    </xf>
    <xf numFmtId="0" fontId="58" fillId="7" borderId="14" xfId="0" applyFont="1" applyFill="1" applyBorder="1" applyAlignment="1">
      <alignment horizontal="left" vertical="center"/>
    </xf>
    <xf numFmtId="176" fontId="58" fillId="7" borderId="14" xfId="1" applyNumberFormat="1" applyFont="1" applyFill="1" applyBorder="1" applyAlignment="1">
      <alignment vertical="center"/>
    </xf>
    <xf numFmtId="176" fontId="58" fillId="7" borderId="14" xfId="0" applyNumberFormat="1" applyFont="1" applyFill="1" applyBorder="1" applyAlignment="1">
      <alignment vertical="center"/>
    </xf>
    <xf numFmtId="0" fontId="58" fillId="7" borderId="10" xfId="0" applyFont="1" applyFill="1" applyBorder="1" applyAlignment="1">
      <alignment vertical="center"/>
    </xf>
    <xf numFmtId="0" fontId="58" fillId="7" borderId="10" xfId="0" applyFont="1" applyFill="1" applyBorder="1" applyAlignment="1">
      <alignment horizontal="left" vertical="center"/>
    </xf>
    <xf numFmtId="176" fontId="58" fillId="7" borderId="10" xfId="1" applyNumberFormat="1" applyFont="1" applyFill="1" applyBorder="1" applyAlignment="1">
      <alignment vertical="center"/>
    </xf>
    <xf numFmtId="176" fontId="58" fillId="7" borderId="10" xfId="0" applyNumberFormat="1" applyFont="1" applyFill="1" applyBorder="1" applyAlignment="1">
      <alignment vertical="center"/>
    </xf>
    <xf numFmtId="0" fontId="66" fillId="7" borderId="10" xfId="0" applyFont="1" applyFill="1" applyBorder="1" applyAlignment="1">
      <alignment vertical="center"/>
    </xf>
    <xf numFmtId="0" fontId="66" fillId="7" borderId="10" xfId="0" applyFont="1" applyFill="1" applyBorder="1" applyAlignment="1">
      <alignment horizontal="left" vertical="center"/>
    </xf>
    <xf numFmtId="176" fontId="66" fillId="7" borderId="10" xfId="0" applyNumberFormat="1" applyFont="1" applyFill="1" applyBorder="1" applyAlignment="1">
      <alignment vertical="center"/>
    </xf>
    <xf numFmtId="176" fontId="66" fillId="7" borderId="10" xfId="1" applyNumberFormat="1" applyFont="1" applyFill="1" applyBorder="1" applyAlignment="1">
      <alignment vertical="center"/>
    </xf>
    <xf numFmtId="165" fontId="60" fillId="7" borderId="10" xfId="1" applyNumberFormat="1" applyFont="1" applyFill="1" applyBorder="1" applyAlignment="1">
      <alignment vertical="center" wrapText="1"/>
    </xf>
    <xf numFmtId="165" fontId="60" fillId="7" borderId="10" xfId="1" applyNumberFormat="1" applyFont="1" applyFill="1" applyBorder="1" applyAlignment="1">
      <alignment horizontal="left" vertical="center"/>
    </xf>
    <xf numFmtId="176" fontId="60" fillId="7" borderId="10" xfId="1" applyNumberFormat="1" applyFont="1" applyFill="1" applyBorder="1" applyAlignment="1">
      <alignment vertical="center"/>
    </xf>
    <xf numFmtId="176" fontId="46" fillId="7" borderId="10" xfId="1" applyNumberFormat="1" applyFont="1" applyFill="1" applyBorder="1" applyAlignment="1">
      <alignment vertical="center"/>
    </xf>
    <xf numFmtId="0" fontId="60" fillId="7" borderId="10" xfId="0" applyFont="1" applyFill="1" applyBorder="1" applyAlignment="1">
      <alignment vertical="center"/>
    </xf>
    <xf numFmtId="0" fontId="60" fillId="7" borderId="10" xfId="0" applyFont="1" applyFill="1" applyBorder="1" applyAlignment="1">
      <alignment horizontal="left" vertical="center"/>
    </xf>
    <xf numFmtId="10" fontId="60" fillId="7" borderId="10" xfId="2" applyNumberFormat="1" applyFont="1" applyFill="1" applyBorder="1" applyAlignment="1">
      <alignment vertical="center"/>
    </xf>
    <xf numFmtId="10" fontId="60" fillId="7" borderId="10" xfId="0" applyNumberFormat="1" applyFont="1" applyFill="1" applyBorder="1" applyAlignment="1">
      <alignment vertical="center"/>
    </xf>
    <xf numFmtId="176" fontId="46" fillId="7" borderId="10" xfId="0" applyNumberFormat="1" applyFont="1" applyFill="1" applyBorder="1" applyAlignment="1">
      <alignment vertical="center"/>
    </xf>
    <xf numFmtId="0" fontId="64" fillId="7" borderId="10" xfId="0" applyFont="1" applyFill="1" applyBorder="1" applyAlignment="1">
      <alignment vertical="center"/>
    </xf>
    <xf numFmtId="0" fontId="64" fillId="7" borderId="10" xfId="0" applyFont="1" applyFill="1" applyBorder="1" applyAlignment="1">
      <alignment horizontal="left" vertical="center"/>
    </xf>
    <xf numFmtId="10" fontId="64" fillId="7" borderId="10" xfId="2" applyNumberFormat="1" applyFont="1" applyFill="1" applyBorder="1" applyAlignment="1">
      <alignment vertical="center"/>
    </xf>
    <xf numFmtId="10" fontId="64" fillId="7" borderId="10" xfId="0" applyNumberFormat="1" applyFont="1" applyFill="1" applyBorder="1" applyAlignment="1">
      <alignment vertical="center"/>
    </xf>
    <xf numFmtId="176" fontId="60" fillId="7" borderId="10" xfId="0" applyNumberFormat="1" applyFont="1" applyFill="1" applyBorder="1" applyAlignment="1">
      <alignment vertical="center"/>
    </xf>
    <xf numFmtId="9" fontId="60" fillId="7" borderId="10" xfId="2" applyFont="1" applyFill="1" applyBorder="1" applyAlignment="1">
      <alignment vertical="center"/>
    </xf>
    <xf numFmtId="43" fontId="66" fillId="7" borderId="10" xfId="1" applyFont="1" applyFill="1" applyBorder="1" applyAlignment="1">
      <alignment vertical="center"/>
    </xf>
    <xf numFmtId="10" fontId="46" fillId="7" borderId="10" xfId="2" applyNumberFormat="1" applyFont="1" applyFill="1" applyBorder="1" applyAlignment="1">
      <alignment vertical="center"/>
    </xf>
    <xf numFmtId="10" fontId="60" fillId="7" borderId="12" xfId="2" applyNumberFormat="1" applyFont="1" applyFill="1" applyBorder="1" applyAlignment="1">
      <alignment vertical="center"/>
    </xf>
    <xf numFmtId="0" fontId="66" fillId="7" borderId="14" xfId="0" applyFont="1" applyFill="1" applyBorder="1" applyAlignment="1">
      <alignment vertical="center"/>
    </xf>
    <xf numFmtId="0" fontId="66" fillId="7" borderId="14" xfId="0" applyFont="1" applyFill="1" applyBorder="1" applyAlignment="1">
      <alignment horizontal="left" vertical="center"/>
    </xf>
    <xf numFmtId="181" fontId="66" fillId="7" borderId="14" xfId="1" applyNumberFormat="1" applyFont="1" applyFill="1" applyBorder="1" applyAlignment="1">
      <alignment vertical="center"/>
    </xf>
    <xf numFmtId="181" fontId="66" fillId="7" borderId="14" xfId="0" applyNumberFormat="1" applyFont="1" applyFill="1" applyBorder="1" applyAlignment="1">
      <alignment vertical="center"/>
    </xf>
    <xf numFmtId="181" fontId="60" fillId="7" borderId="10" xfId="0" applyNumberFormat="1" applyFont="1" applyFill="1" applyBorder="1" applyAlignment="1">
      <alignment vertical="center"/>
    </xf>
    <xf numFmtId="179" fontId="60" fillId="7" borderId="10" xfId="0" applyNumberFormat="1" applyFont="1" applyFill="1" applyBorder="1" applyAlignment="1">
      <alignment vertical="center"/>
    </xf>
    <xf numFmtId="181" fontId="66" fillId="7" borderId="10" xfId="1" applyNumberFormat="1" applyFont="1" applyFill="1" applyBorder="1" applyAlignment="1">
      <alignment vertical="center"/>
    </xf>
    <xf numFmtId="181" fontId="66" fillId="7" borderId="10" xfId="0" applyNumberFormat="1" applyFont="1" applyFill="1" applyBorder="1" applyAlignment="1">
      <alignment vertical="center"/>
    </xf>
    <xf numFmtId="181" fontId="46" fillId="7" borderId="10" xfId="1" applyNumberFormat="1" applyFont="1" applyFill="1" applyBorder="1" applyAlignment="1">
      <alignment vertical="center"/>
    </xf>
    <xf numFmtId="181" fontId="46" fillId="7" borderId="10" xfId="0" applyNumberFormat="1" applyFont="1" applyFill="1" applyBorder="1" applyAlignment="1">
      <alignment vertical="center"/>
    </xf>
    <xf numFmtId="0" fontId="68" fillId="7" borderId="10" xfId="0" applyFont="1" applyFill="1" applyBorder="1" applyAlignment="1">
      <alignment vertical="center"/>
    </xf>
    <xf numFmtId="0" fontId="68" fillId="7" borderId="10" xfId="0" applyFont="1" applyFill="1" applyBorder="1" applyAlignment="1">
      <alignment horizontal="left" vertical="center"/>
    </xf>
    <xf numFmtId="181" fontId="68" fillId="7" borderId="10" xfId="1" applyNumberFormat="1" applyFont="1" applyFill="1" applyBorder="1" applyAlignment="1">
      <alignment vertical="center"/>
    </xf>
    <xf numFmtId="181" fontId="68" fillId="7" borderId="10" xfId="0" applyNumberFormat="1" applyFont="1" applyFill="1" applyBorder="1" applyAlignment="1">
      <alignment vertical="center"/>
    </xf>
    <xf numFmtId="165" fontId="68" fillId="7" borderId="10" xfId="1" applyNumberFormat="1" applyFont="1" applyFill="1" applyBorder="1" applyAlignment="1">
      <alignment vertical="center"/>
    </xf>
    <xf numFmtId="173" fontId="68" fillId="7" borderId="10" xfId="1" applyNumberFormat="1" applyFont="1" applyFill="1" applyBorder="1" applyAlignment="1">
      <alignment vertical="center"/>
    </xf>
    <xf numFmtId="0" fontId="46" fillId="0" borderId="22" xfId="0" applyFont="1" applyBorder="1" applyAlignment="1">
      <alignment vertical="center"/>
    </xf>
    <xf numFmtId="14" fontId="46" fillId="0" borderId="0" xfId="0" applyNumberFormat="1" applyFont="1" applyAlignment="1">
      <alignment horizontal="left" vertical="center"/>
    </xf>
    <xf numFmtId="17" fontId="46" fillId="0" borderId="0" xfId="0" applyNumberFormat="1" applyFont="1" applyAlignment="1">
      <alignment horizontal="left" vertical="center"/>
    </xf>
    <xf numFmtId="3" fontId="46" fillId="0" borderId="0" xfId="0" applyNumberFormat="1" applyFont="1" applyAlignment="1">
      <alignment horizontal="left" vertical="center"/>
    </xf>
    <xf numFmtId="49" fontId="46" fillId="0" borderId="0" xfId="0" applyNumberFormat="1" applyFont="1" applyAlignment="1">
      <alignment horizontal="left" vertical="center"/>
    </xf>
    <xf numFmtId="4" fontId="46" fillId="0" borderId="0" xfId="0" applyNumberFormat="1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10" fontId="68" fillId="0" borderId="0" xfId="2" applyNumberFormat="1" applyFont="1" applyAlignment="1">
      <alignment horizontal="right" vertical="center"/>
    </xf>
    <xf numFmtId="0" fontId="68" fillId="0" borderId="0" xfId="0" applyFont="1" applyAlignment="1">
      <alignment horizontal="center" vertical="center"/>
    </xf>
    <xf numFmtId="0" fontId="65" fillId="0" borderId="0" xfId="0" applyFont="1" applyAlignment="1">
      <alignment horizontal="left" vertical="center"/>
    </xf>
    <xf numFmtId="10" fontId="60" fillId="0" borderId="0" xfId="2" applyNumberFormat="1" applyFont="1" applyAlignment="1">
      <alignment horizontal="right" vertical="center"/>
    </xf>
    <xf numFmtId="0" fontId="60" fillId="0" borderId="0" xfId="0" applyFont="1" applyAlignment="1">
      <alignment horizontal="center" vertical="center"/>
    </xf>
    <xf numFmtId="0" fontId="60" fillId="0" borderId="0" xfId="0" applyFont="1" applyAlignment="1">
      <alignment horizontal="left" vertical="center"/>
    </xf>
    <xf numFmtId="0" fontId="46" fillId="0" borderId="0" xfId="0" applyFont="1" applyAlignment="1">
      <alignment horizontal="center" vertical="center"/>
    </xf>
    <xf numFmtId="0" fontId="58" fillId="0" borderId="17" xfId="0" applyFont="1" applyBorder="1" applyAlignment="1">
      <alignment horizontal="left" vertical="center"/>
    </xf>
    <xf numFmtId="0" fontId="58" fillId="0" borderId="11" xfId="0" applyFont="1" applyBorder="1" applyAlignment="1">
      <alignment horizontal="center" vertical="center"/>
    </xf>
    <xf numFmtId="0" fontId="68" fillId="11" borderId="16" xfId="0" applyFont="1" applyFill="1" applyBorder="1" applyAlignment="1">
      <alignment horizontal="center" vertical="center"/>
    </xf>
    <xf numFmtId="0" fontId="60" fillId="11" borderId="16" xfId="0" applyFont="1" applyFill="1" applyBorder="1" applyAlignment="1">
      <alignment horizontal="left" vertical="center"/>
    </xf>
    <xf numFmtId="0" fontId="46" fillId="11" borderId="16" xfId="0" applyFont="1" applyFill="1" applyBorder="1" applyAlignment="1">
      <alignment horizontal="center" vertical="center"/>
    </xf>
    <xf numFmtId="10" fontId="37" fillId="11" borderId="55" xfId="2" applyNumberFormat="1" applyFont="1" applyFill="1" applyBorder="1" applyAlignment="1">
      <alignment horizontal="center" vertical="center"/>
    </xf>
    <xf numFmtId="0" fontId="37" fillId="11" borderId="55" xfId="0" applyFont="1" applyFill="1" applyBorder="1" applyAlignment="1">
      <alignment horizontal="center" vertical="center"/>
    </xf>
    <xf numFmtId="0" fontId="37" fillId="11" borderId="56" xfId="0" applyFont="1" applyFill="1" applyBorder="1" applyAlignment="1">
      <alignment horizontal="center" vertical="center"/>
    </xf>
    <xf numFmtId="0" fontId="75" fillId="0" borderId="5" xfId="3" applyFont="1" applyBorder="1" applyAlignment="1">
      <alignment horizontal="left" vertical="center"/>
    </xf>
    <xf numFmtId="10" fontId="46" fillId="11" borderId="6" xfId="0" applyNumberFormat="1" applyFont="1" applyFill="1" applyBorder="1" applyAlignment="1">
      <alignment vertical="center"/>
    </xf>
    <xf numFmtId="10" fontId="46" fillId="0" borderId="0" xfId="0" applyNumberFormat="1" applyFont="1" applyAlignment="1">
      <alignment horizontal="right" vertical="center"/>
    </xf>
    <xf numFmtId="0" fontId="46" fillId="0" borderId="5" xfId="0" applyFont="1" applyBorder="1" applyAlignment="1">
      <alignment horizontal="left" vertical="center"/>
    </xf>
    <xf numFmtId="10" fontId="71" fillId="16" borderId="4" xfId="0" applyNumberFormat="1" applyFont="1" applyFill="1" applyBorder="1" applyAlignment="1">
      <alignment horizontal="right" vertical="center"/>
    </xf>
    <xf numFmtId="10" fontId="76" fillId="11" borderId="58" xfId="2" applyNumberFormat="1" applyFont="1" applyFill="1" applyBorder="1" applyAlignment="1">
      <alignment horizontal="center" vertical="center"/>
    </xf>
    <xf numFmtId="0" fontId="76" fillId="11" borderId="58" xfId="0" applyFont="1" applyFill="1" applyBorder="1" applyAlignment="1">
      <alignment horizontal="center" vertical="center"/>
    </xf>
    <xf numFmtId="0" fontId="76" fillId="11" borderId="59" xfId="0" applyFont="1" applyFill="1" applyBorder="1" applyAlignment="1">
      <alignment horizontal="center" vertical="center"/>
    </xf>
    <xf numFmtId="10" fontId="46" fillId="0" borderId="0" xfId="1" applyNumberFormat="1" applyFont="1" applyAlignment="1">
      <alignment horizontal="right" vertical="center"/>
    </xf>
    <xf numFmtId="43" fontId="46" fillId="0" borderId="6" xfId="0" applyNumberFormat="1" applyFont="1" applyBorder="1" applyAlignment="1">
      <alignment horizontal="right" vertical="center"/>
    </xf>
    <xf numFmtId="185" fontId="32" fillId="17" borderId="48" xfId="1" applyNumberFormat="1" applyFont="1" applyFill="1" applyBorder="1" applyAlignment="1">
      <alignment horizontal="center" vertical="center"/>
    </xf>
    <xf numFmtId="4" fontId="32" fillId="17" borderId="49" xfId="2" applyNumberFormat="1" applyFont="1" applyFill="1" applyBorder="1" applyAlignment="1">
      <alignment horizontal="right" vertical="center"/>
    </xf>
    <xf numFmtId="10" fontId="32" fillId="17" borderId="49" xfId="1" applyNumberFormat="1" applyFont="1" applyFill="1" applyBorder="1" applyAlignment="1">
      <alignment horizontal="center" vertical="center"/>
    </xf>
    <xf numFmtId="3" fontId="32" fillId="17" borderId="49" xfId="2" applyNumberFormat="1" applyFont="1" applyFill="1" applyBorder="1" applyAlignment="1">
      <alignment horizontal="right" vertical="center"/>
    </xf>
    <xf numFmtId="10" fontId="32" fillId="17" borderId="50" xfId="1" applyNumberFormat="1" applyFont="1" applyFill="1" applyBorder="1" applyAlignment="1">
      <alignment horizontal="center" vertical="center"/>
    </xf>
    <xf numFmtId="2" fontId="58" fillId="0" borderId="0" xfId="2" applyNumberFormat="1" applyFont="1" applyAlignment="1">
      <alignment horizontal="right" vertical="center"/>
    </xf>
    <xf numFmtId="10" fontId="46" fillId="0" borderId="6" xfId="0" applyNumberFormat="1" applyFont="1" applyBorder="1" applyAlignment="1">
      <alignment horizontal="right" vertical="center"/>
    </xf>
    <xf numFmtId="10" fontId="58" fillId="0" borderId="0" xfId="0" applyNumberFormat="1" applyFont="1" applyAlignment="1">
      <alignment horizontal="right" vertical="center"/>
    </xf>
    <xf numFmtId="0" fontId="46" fillId="11" borderId="16" xfId="0" applyFont="1" applyFill="1" applyBorder="1" applyAlignment="1">
      <alignment horizontal="right" vertical="center"/>
    </xf>
    <xf numFmtId="2" fontId="71" fillId="16" borderId="6" xfId="1" applyNumberFormat="1" applyFont="1" applyFill="1" applyBorder="1" applyAlignment="1">
      <alignment vertical="center"/>
    </xf>
    <xf numFmtId="43" fontId="46" fillId="11" borderId="6" xfId="1" applyFont="1" applyFill="1" applyBorder="1" applyAlignment="1">
      <alignment vertical="center"/>
    </xf>
    <xf numFmtId="10" fontId="46" fillId="4" borderId="6" xfId="1" applyNumberFormat="1" applyFont="1" applyFill="1" applyBorder="1" applyAlignment="1">
      <alignment vertical="center"/>
    </xf>
    <xf numFmtId="169" fontId="46" fillId="4" borderId="6" xfId="1" applyNumberFormat="1" applyFont="1" applyFill="1" applyBorder="1" applyAlignment="1">
      <alignment vertical="center"/>
    </xf>
    <xf numFmtId="0" fontId="68" fillId="0" borderId="7" xfId="0" applyFont="1" applyBorder="1" applyAlignment="1">
      <alignment horizontal="left" vertical="center"/>
    </xf>
    <xf numFmtId="10" fontId="68" fillId="0" borderId="9" xfId="2" applyNumberFormat="1" applyFont="1" applyBorder="1" applyAlignment="1">
      <alignment horizontal="right" vertical="center"/>
    </xf>
    <xf numFmtId="43" fontId="46" fillId="4" borderId="6" xfId="1" applyFont="1" applyFill="1" applyBorder="1" applyAlignment="1">
      <alignment vertical="center"/>
    </xf>
    <xf numFmtId="0" fontId="46" fillId="0" borderId="7" xfId="0" applyFont="1" applyBorder="1" applyAlignment="1">
      <alignment horizontal="left" vertical="center"/>
    </xf>
    <xf numFmtId="43" fontId="46" fillId="4" borderId="9" xfId="1" applyFont="1" applyFill="1" applyBorder="1" applyAlignment="1">
      <alignment vertical="center"/>
    </xf>
    <xf numFmtId="2" fontId="46" fillId="0" borderId="0" xfId="0" applyNumberFormat="1" applyFont="1" applyAlignment="1">
      <alignment horizontal="right" vertical="center"/>
    </xf>
    <xf numFmtId="10" fontId="46" fillId="11" borderId="16" xfId="2" applyNumberFormat="1" applyFont="1" applyFill="1" applyBorder="1" applyAlignment="1">
      <alignment horizontal="right" vertical="center"/>
    </xf>
    <xf numFmtId="185" fontId="32" fillId="17" borderId="51" xfId="1" applyNumberFormat="1" applyFont="1" applyFill="1" applyBorder="1" applyAlignment="1">
      <alignment horizontal="center" vertical="center"/>
    </xf>
    <xf numFmtId="4" fontId="32" fillId="17" borderId="52" xfId="2" applyNumberFormat="1" applyFont="1" applyFill="1" applyBorder="1" applyAlignment="1">
      <alignment horizontal="right" vertical="center"/>
    </xf>
    <xf numFmtId="10" fontId="32" fillId="17" borderId="52" xfId="1" applyNumberFormat="1" applyFont="1" applyFill="1" applyBorder="1" applyAlignment="1">
      <alignment horizontal="center" vertical="center"/>
    </xf>
    <xf numFmtId="3" fontId="32" fillId="17" borderId="52" xfId="2" applyNumberFormat="1" applyFont="1" applyFill="1" applyBorder="1" applyAlignment="1">
      <alignment horizontal="right" vertical="center"/>
    </xf>
    <xf numFmtId="10" fontId="32" fillId="17" borderId="53" xfId="1" applyNumberFormat="1" applyFont="1" applyFill="1" applyBorder="1" applyAlignment="1">
      <alignment horizontal="center" vertical="center"/>
    </xf>
    <xf numFmtId="165" fontId="46" fillId="0" borderId="5" xfId="1" applyNumberFormat="1" applyFont="1" applyBorder="1" applyAlignment="1">
      <alignment horizontal="center" vertical="center"/>
    </xf>
    <xf numFmtId="166" fontId="46" fillId="0" borderId="6" xfId="2" applyNumberFormat="1" applyFont="1" applyBorder="1" applyAlignment="1">
      <alignment horizontal="right" vertical="center"/>
    </xf>
    <xf numFmtId="165" fontId="46" fillId="0" borderId="0" xfId="1" applyNumberFormat="1" applyFont="1" applyBorder="1" applyAlignment="1">
      <alignment horizontal="right" vertical="center"/>
    </xf>
    <xf numFmtId="165" fontId="46" fillId="0" borderId="7" xfId="1" applyNumberFormat="1" applyFont="1" applyBorder="1" applyAlignment="1">
      <alignment horizontal="center" vertical="center"/>
    </xf>
    <xf numFmtId="10" fontId="46" fillId="0" borderId="9" xfId="2" applyNumberFormat="1" applyFont="1" applyBorder="1" applyAlignment="1">
      <alignment horizontal="right" vertical="center"/>
    </xf>
    <xf numFmtId="165" fontId="46" fillId="0" borderId="8" xfId="1" applyNumberFormat="1" applyFont="1" applyBorder="1" applyAlignment="1">
      <alignment horizontal="right" vertical="center"/>
    </xf>
    <xf numFmtId="170" fontId="42" fillId="14" borderId="0" xfId="1" applyNumberFormat="1" applyFont="1" applyFill="1" applyAlignment="1">
      <alignment horizontal="left" vertical="center"/>
    </xf>
    <xf numFmtId="170" fontId="42" fillId="14" borderId="40" xfId="1" applyNumberFormat="1" applyFont="1" applyFill="1" applyBorder="1" applyAlignment="1">
      <alignment horizontal="left" vertical="center"/>
    </xf>
    <xf numFmtId="170" fontId="42" fillId="14" borderId="6" xfId="1" applyNumberFormat="1" applyFont="1" applyFill="1" applyBorder="1" applyAlignment="1">
      <alignment horizontal="left" vertical="center"/>
    </xf>
    <xf numFmtId="170" fontId="42" fillId="14" borderId="0" xfId="1" applyNumberFormat="1" applyFont="1" applyFill="1" applyBorder="1" applyAlignment="1">
      <alignment horizontal="left" vertical="center"/>
    </xf>
    <xf numFmtId="0" fontId="77" fillId="19" borderId="0" xfId="0" applyFont="1" applyFill="1"/>
    <xf numFmtId="0" fontId="78" fillId="0" borderId="0" xfId="0" applyFont="1"/>
    <xf numFmtId="2" fontId="23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87" fontId="52" fillId="17" borderId="0" xfId="0" applyNumberFormat="1" applyFont="1" applyFill="1" applyAlignment="1">
      <alignment horizontal="center"/>
    </xf>
    <xf numFmtId="0" fontId="79" fillId="19" borderId="0" xfId="0" applyFont="1" applyFill="1" applyAlignment="1">
      <alignment horizontal="left" vertical="center"/>
    </xf>
    <xf numFmtId="0" fontId="80" fillId="14" borderId="0" xfId="0" applyFont="1" applyFill="1" applyAlignment="1">
      <alignment horizontal="left" vertical="center"/>
    </xf>
    <xf numFmtId="0" fontId="81" fillId="13" borderId="0" xfId="0" applyFont="1" applyFill="1" applyAlignment="1">
      <alignment horizontal="left" vertical="center"/>
    </xf>
    <xf numFmtId="0" fontId="81" fillId="13" borderId="0" xfId="0" applyFont="1" applyFill="1" applyAlignment="1">
      <alignment horizontal="center" vertical="center"/>
    </xf>
    <xf numFmtId="10" fontId="2" fillId="0" borderId="0" xfId="0" applyNumberFormat="1" applyFont="1" applyAlignment="1">
      <alignment horizontal="right" vertical="center"/>
    </xf>
    <xf numFmtId="0" fontId="3" fillId="23" borderId="0" xfId="0" applyFont="1" applyFill="1" applyAlignment="1">
      <alignment horizontal="left" vertical="center"/>
    </xf>
    <xf numFmtId="10" fontId="3" fillId="23" borderId="0" xfId="0" applyNumberFormat="1" applyFont="1" applyFill="1" applyAlignment="1">
      <alignment horizontal="right" vertical="center"/>
    </xf>
    <xf numFmtId="10" fontId="3" fillId="0" borderId="0" xfId="0" applyNumberFormat="1" applyFont="1" applyAlignment="1">
      <alignment horizontal="right" vertical="center"/>
    </xf>
    <xf numFmtId="0" fontId="12" fillId="23" borderId="0" xfId="0" applyFont="1" applyFill="1" applyAlignment="1">
      <alignment horizontal="left" vertical="center"/>
    </xf>
    <xf numFmtId="10" fontId="12" fillId="23" borderId="0" xfId="0" applyNumberFormat="1" applyFont="1" applyFill="1" applyAlignment="1">
      <alignment horizontal="right" vertical="center"/>
    </xf>
    <xf numFmtId="165" fontId="82" fillId="14" borderId="0" xfId="1" applyNumberFormat="1" applyFont="1" applyFill="1" applyAlignment="1">
      <alignment horizontal="left" vertical="center"/>
    </xf>
    <xf numFmtId="0" fontId="83" fillId="13" borderId="0" xfId="0" applyFont="1" applyFill="1" applyAlignment="1">
      <alignment horizontal="left" vertical="center"/>
    </xf>
    <xf numFmtId="0" fontId="83" fillId="13" borderId="0" xfId="0" applyFont="1" applyFill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4" fontId="8" fillId="0" borderId="0" xfId="1" applyNumberFormat="1" applyFont="1" applyAlignment="1">
      <alignment horizontal="right" vertical="center"/>
    </xf>
    <xf numFmtId="10" fontId="8" fillId="0" borderId="0" xfId="1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10" fontId="8" fillId="0" borderId="0" xfId="0" applyNumberFormat="1" applyFont="1" applyAlignment="1">
      <alignment horizontal="right" vertical="center"/>
    </xf>
    <xf numFmtId="184" fontId="46" fillId="0" borderId="0" xfId="0" applyNumberFormat="1" applyFont="1" applyAlignment="1">
      <alignment horizontal="right"/>
    </xf>
    <xf numFmtId="184" fontId="84" fillId="0" borderId="0" xfId="0" applyNumberFormat="1" applyFont="1" applyAlignment="1">
      <alignment horizontal="right"/>
    </xf>
    <xf numFmtId="187" fontId="69" fillId="16" borderId="0" xfId="2" applyNumberFormat="1" applyFont="1" applyFill="1" applyBorder="1" applyAlignment="1">
      <alignment horizontal="right" vertical="center"/>
    </xf>
    <xf numFmtId="187" fontId="70" fillId="16" borderId="13" xfId="1" applyNumberFormat="1" applyFont="1" applyFill="1" applyBorder="1" applyAlignment="1">
      <alignment horizontal="right" vertical="center"/>
    </xf>
    <xf numFmtId="187" fontId="69" fillId="16" borderId="13" xfId="1" applyNumberFormat="1" applyFont="1" applyFill="1" applyBorder="1" applyAlignment="1">
      <alignment horizontal="right" vertical="center"/>
    </xf>
    <xf numFmtId="173" fontId="69" fillId="16" borderId="13" xfId="2" applyNumberFormat="1" applyFont="1" applyFill="1" applyBorder="1" applyAlignment="1">
      <alignment vertical="center"/>
    </xf>
    <xf numFmtId="0" fontId="58" fillId="8" borderId="1" xfId="0" applyFont="1" applyFill="1" applyBorder="1" applyAlignment="1">
      <alignment horizontal="center" vertical="center" wrapText="1"/>
    </xf>
    <xf numFmtId="0" fontId="58" fillId="8" borderId="2" xfId="0" applyFont="1" applyFill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 wrapText="1"/>
    </xf>
    <xf numFmtId="0" fontId="33" fillId="13" borderId="1" xfId="0" applyFont="1" applyFill="1" applyBorder="1" applyAlignment="1">
      <alignment horizontal="left" vertical="center" wrapText="1"/>
    </xf>
    <xf numFmtId="0" fontId="33" fillId="13" borderId="2" xfId="0" applyFont="1" applyFill="1" applyBorder="1" applyAlignment="1">
      <alignment horizontal="left" vertical="center" wrapText="1"/>
    </xf>
    <xf numFmtId="0" fontId="33" fillId="13" borderId="23" xfId="0" applyFont="1" applyFill="1" applyBorder="1" applyAlignment="1">
      <alignment horizontal="center" vertical="center" wrapText="1"/>
    </xf>
    <xf numFmtId="0" fontId="33" fillId="13" borderId="2" xfId="0" applyFont="1" applyFill="1" applyBorder="1" applyAlignment="1">
      <alignment horizontal="center" vertical="center" wrapText="1"/>
    </xf>
    <xf numFmtId="0" fontId="34" fillId="11" borderId="46" xfId="0" applyFont="1" applyFill="1" applyBorder="1" applyAlignment="1">
      <alignment horizontal="center" vertical="center"/>
    </xf>
    <xf numFmtId="0" fontId="34" fillId="11" borderId="54" xfId="0" applyFont="1" applyFill="1" applyBorder="1" applyAlignment="1">
      <alignment horizontal="center" vertical="center"/>
    </xf>
    <xf numFmtId="0" fontId="34" fillId="11" borderId="57" xfId="0" applyFont="1" applyFill="1" applyBorder="1" applyAlignment="1">
      <alignment horizontal="center" vertical="center"/>
    </xf>
    <xf numFmtId="0" fontId="34" fillId="11" borderId="45" xfId="0" applyFont="1" applyFill="1" applyBorder="1" applyAlignment="1">
      <alignment horizontal="center" vertical="center"/>
    </xf>
    <xf numFmtId="0" fontId="34" fillId="11" borderId="47" xfId="0" applyFont="1" applyFill="1" applyBorder="1" applyAlignment="1">
      <alignment horizontal="center" vertical="center"/>
    </xf>
    <xf numFmtId="0" fontId="60" fillId="0" borderId="0" xfId="0" applyFont="1" applyAlignment="1">
      <alignment horizontal="left" vertical="top" wrapText="1"/>
    </xf>
    <xf numFmtId="0" fontId="42" fillId="14" borderId="0" xfId="0" applyFont="1" applyFill="1" applyAlignment="1">
      <alignment horizontal="left" vertical="top" wrapText="1"/>
    </xf>
    <xf numFmtId="0" fontId="46" fillId="0" borderId="0" xfId="0" applyFont="1" applyAlignment="1">
      <alignment horizontal="left" vertical="top" wrapText="1"/>
    </xf>
    <xf numFmtId="0" fontId="46" fillId="0" borderId="0" xfId="0" applyFont="1"/>
    <xf numFmtId="0" fontId="59" fillId="0" borderId="0" xfId="0" applyFont="1" applyAlignment="1">
      <alignment horizontal="left" vertical="top" wrapText="1"/>
    </xf>
  </cellXfs>
  <cellStyles count="5">
    <cellStyle name="Comma" xfId="1" builtinId="3"/>
    <cellStyle name="Hyperlink" xfId="3" builtinId="8"/>
    <cellStyle name="Normal" xfId="0" builtinId="0"/>
    <cellStyle name="Normal 14" xfId="4" xr:uid="{560E7F36-0648-45DB-8C1C-4C3000849D06}"/>
    <cellStyle name="Percent" xfId="2" builtinId="5"/>
  </cellStyles>
  <dxfs count="32">
    <dxf>
      <font>
        <color rgb="FF000000"/>
      </font>
      <fill>
        <patternFill patternType="solid">
          <fgColor indexed="64"/>
          <bgColor rgb="FFD9EAD3"/>
        </patternFill>
      </fill>
    </dxf>
    <dxf>
      <font>
        <color rgb="FF000000"/>
      </font>
      <fill>
        <patternFill patternType="solid">
          <fgColor indexed="64"/>
          <bgColor rgb="FF93C47D"/>
        </patternFill>
      </fill>
    </dxf>
    <dxf>
      <font>
        <color rgb="FF000000"/>
      </font>
      <fill>
        <patternFill patternType="solid">
          <fgColor indexed="64"/>
          <bgColor rgb="FFF4CCCC"/>
        </patternFill>
      </fill>
    </dxf>
    <dxf>
      <font>
        <color rgb="FFFFFFFF"/>
      </font>
      <fill>
        <patternFill patternType="solid">
          <fgColor indexed="64"/>
          <bgColor rgb="FFE06666"/>
        </patternFill>
      </fill>
    </dxf>
    <dxf>
      <font>
        <b val="0"/>
        <i val="0"/>
        <color rgb="FF000000"/>
      </font>
      <fill>
        <patternFill patternType="solid">
          <fgColor indexed="64"/>
          <bgColor rgb="FFD9EAD3"/>
        </patternFill>
      </fill>
    </dxf>
    <dxf>
      <font>
        <b val="0"/>
        <i val="0"/>
        <color rgb="FF000000"/>
      </font>
      <fill>
        <patternFill patternType="solid">
          <fgColor indexed="64"/>
          <bgColor rgb="FF93C47D"/>
        </patternFill>
      </fill>
    </dxf>
    <dxf>
      <font>
        <b/>
        <i val="0"/>
        <color rgb="FFFFFFFF"/>
      </font>
      <fill>
        <patternFill patternType="solid">
          <fgColor indexed="64"/>
          <bgColor rgb="FF38761D"/>
        </patternFill>
      </fill>
    </dxf>
    <dxf>
      <font>
        <b val="0"/>
        <i val="0"/>
        <color rgb="FF000000"/>
      </font>
      <fill>
        <patternFill patternType="solid">
          <fgColor indexed="64"/>
          <bgColor rgb="FFF4CCCC"/>
        </patternFill>
      </fill>
    </dxf>
    <dxf>
      <font>
        <b/>
        <i val="0"/>
        <color rgb="FFFFFFFF"/>
      </font>
      <fill>
        <patternFill patternType="solid">
          <fgColor indexed="64"/>
          <bgColor rgb="FFE06666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 val="0"/>
        <i val="0"/>
        <color rgb="FF000000"/>
      </font>
      <fill>
        <patternFill patternType="solid">
          <fgColor indexed="64"/>
          <bgColor rgb="FFD9EAD3"/>
        </patternFill>
      </fill>
    </dxf>
    <dxf>
      <font>
        <b val="0"/>
        <i val="0"/>
        <color rgb="FF000000"/>
      </font>
      <fill>
        <patternFill patternType="solid">
          <fgColor indexed="64"/>
          <bgColor rgb="FF93C47D"/>
        </patternFill>
      </fill>
    </dxf>
    <dxf>
      <font>
        <b/>
        <i val="0"/>
        <color rgb="FFFFFFFF"/>
      </font>
      <fill>
        <patternFill patternType="solid">
          <fgColor indexed="64"/>
          <bgColor rgb="FF38761D"/>
        </patternFill>
      </fill>
    </dxf>
    <dxf>
      <font>
        <b val="0"/>
        <i val="0"/>
        <color rgb="FF000000"/>
      </font>
      <fill>
        <patternFill patternType="solid">
          <fgColor indexed="64"/>
          <bgColor rgb="FFF4CCCC"/>
        </patternFill>
      </fill>
    </dxf>
    <dxf>
      <font>
        <b/>
        <i val="0"/>
        <color rgb="FFFFFFFF"/>
      </font>
      <fill>
        <patternFill patternType="solid">
          <fgColor indexed="64"/>
          <bgColor rgb="FFE06666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000000"/>
      </font>
      <fill>
        <patternFill patternType="solid">
          <fgColor indexed="64"/>
          <bgColor rgb="FFD9EAD3"/>
        </patternFill>
      </fill>
    </dxf>
    <dxf>
      <font>
        <b/>
        <i val="0"/>
        <color rgb="FF000000"/>
      </font>
      <fill>
        <patternFill patternType="solid">
          <fgColor indexed="64"/>
          <bgColor rgb="FF93C47D"/>
        </patternFill>
      </fill>
    </dxf>
    <dxf>
      <font>
        <b/>
        <i val="0"/>
        <color rgb="FFFFFFFF"/>
      </font>
      <fill>
        <patternFill patternType="solid">
          <fgColor indexed="64"/>
          <bgColor rgb="FF38761D"/>
        </patternFill>
      </fill>
    </dxf>
    <dxf>
      <font>
        <b/>
        <i val="0"/>
        <color rgb="FF000000"/>
      </font>
      <fill>
        <patternFill patternType="solid">
          <fgColor indexed="64"/>
          <bgColor rgb="FFF4CCCC"/>
        </patternFill>
      </fill>
    </dxf>
    <dxf>
      <font>
        <b/>
        <i val="0"/>
        <color rgb="FFFFFFFF"/>
      </font>
      <fill>
        <patternFill patternType="solid">
          <fgColor indexed="64"/>
          <bgColor rgb="FFE06666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 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OD_Ratio!$P$51</c:f>
              <c:strCache>
                <c:ptCount val="1"/>
                <c:pt idx="0">
                  <c:v>Gross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OD_Ratio!$Q$50:$Z$50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OD_Ratio!$Q$51:$Z$51</c:f>
              <c:numCache>
                <c:formatCode>0.00%</c:formatCode>
                <c:ptCount val="10"/>
                <c:pt idx="0">
                  <c:v>0.33260299713185093</c:v>
                </c:pt>
                <c:pt idx="1">
                  <c:v>0.27980355990095329</c:v>
                </c:pt>
                <c:pt idx="2">
                  <c:v>0.16650620666232679</c:v>
                </c:pt>
                <c:pt idx="3">
                  <c:v>0.13119367490427822</c:v>
                </c:pt>
                <c:pt idx="4">
                  <c:v>0.13000000000000006</c:v>
                </c:pt>
                <c:pt idx="5">
                  <c:v>0.13999999999999996</c:v>
                </c:pt>
                <c:pt idx="6">
                  <c:v>0.16000000000000011</c:v>
                </c:pt>
                <c:pt idx="7">
                  <c:v>0.18000000000000002</c:v>
                </c:pt>
                <c:pt idx="8">
                  <c:v>0.19</c:v>
                </c:pt>
                <c:pt idx="9">
                  <c:v>0.19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9C-4078-9F2C-602504444180}"/>
            </c:ext>
          </c:extLst>
        </c:ser>
        <c:ser>
          <c:idx val="1"/>
          <c:order val="1"/>
          <c:tx>
            <c:strRef>
              <c:f>OD_Ratio!$P$52</c:f>
              <c:strCache>
                <c:ptCount val="1"/>
                <c:pt idx="0">
                  <c:v>Operating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OD_Ratio!$Q$50:$Z$50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OD_Ratio!$Q$52:$Z$52</c:f>
              <c:numCache>
                <c:formatCode>0.00%</c:formatCode>
                <c:ptCount val="10"/>
                <c:pt idx="0">
                  <c:v>-3.0447306313951858E-2</c:v>
                </c:pt>
                <c:pt idx="1">
                  <c:v>8.2651451873303666E-2</c:v>
                </c:pt>
                <c:pt idx="2">
                  <c:v>-6.843302102767122E-3</c:v>
                </c:pt>
                <c:pt idx="3">
                  <c:v>4.8423025224111089E-3</c:v>
                </c:pt>
                <c:pt idx="4">
                  <c:v>5.0000000000000573E-3</c:v>
                </c:pt>
                <c:pt idx="5">
                  <c:v>1.699999999999996E-2</c:v>
                </c:pt>
                <c:pt idx="6">
                  <c:v>4.0000000000000112E-2</c:v>
                </c:pt>
                <c:pt idx="7">
                  <c:v>6.2000000000000013E-2</c:v>
                </c:pt>
                <c:pt idx="8">
                  <c:v>7.4999999999999997E-2</c:v>
                </c:pt>
                <c:pt idx="9">
                  <c:v>7.5000000000000025E-2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49C-4078-9F2C-602504444180}"/>
            </c:ext>
          </c:extLst>
        </c:ser>
        <c:ser>
          <c:idx val="2"/>
          <c:order val="2"/>
          <c:tx>
            <c:strRef>
              <c:f>OD_Ratio!$P$53</c:f>
              <c:strCache>
                <c:ptCount val="1"/>
                <c:pt idx="0">
                  <c:v>Net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OD_Ratio!$Q$50:$Z$50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OD_Ratio!$Q$53:$Z$53</c:f>
              <c:numCache>
                <c:formatCode>0.00%</c:formatCode>
                <c:ptCount val="10"/>
                <c:pt idx="0">
                  <c:v>7.9238886688122095E-2</c:v>
                </c:pt>
                <c:pt idx="1">
                  <c:v>6.4418506179559396E-2</c:v>
                </c:pt>
                <c:pt idx="2">
                  <c:v>0.12718561443007245</c:v>
                </c:pt>
                <c:pt idx="3">
                  <c:v>5.0244002126743965E-2</c:v>
                </c:pt>
                <c:pt idx="4">
                  <c:v>3.7911205736756284E-2</c:v>
                </c:pt>
                <c:pt idx="5">
                  <c:v>4.2051807980947702E-2</c:v>
                </c:pt>
                <c:pt idx="6">
                  <c:v>5.3958093896476385E-2</c:v>
                </c:pt>
                <c:pt idx="7">
                  <c:v>6.8553237744573253E-2</c:v>
                </c:pt>
                <c:pt idx="8">
                  <c:v>7.9623368282012247E-2</c:v>
                </c:pt>
                <c:pt idx="9">
                  <c:v>8.0022255506678366E-2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49C-4078-9F2C-602504444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445952"/>
        <c:axId val="271445472"/>
      </c:lineChart>
      <c:catAx>
        <c:axId val="27144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445472"/>
        <c:crosses val="autoZero"/>
        <c:auto val="1"/>
        <c:lblAlgn val="ctr"/>
        <c:lblOffset val="100"/>
        <c:noMultiLvlLbl val="0"/>
      </c:catAx>
      <c:valAx>
        <c:axId val="27144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44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 / ROE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OD_Ratio!$P$57</c:f>
              <c:strCache>
                <c:ptCount val="1"/>
                <c:pt idx="0">
                  <c:v>ROA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OD_Ratio!$Q$56:$Z$56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OD_Ratio!$Q$57:$Z$57</c:f>
              <c:numCache>
                <c:formatCode>0.00%</c:formatCode>
                <c:ptCount val="10"/>
                <c:pt idx="0">
                  <c:v>1.8434947001211142E-2</c:v>
                </c:pt>
                <c:pt idx="1">
                  <c:v>1.65580090288623E-2</c:v>
                </c:pt>
                <c:pt idx="2">
                  <c:v>5.5463517379952143E-2</c:v>
                </c:pt>
                <c:pt idx="3">
                  <c:v>2.8006648780612108E-2</c:v>
                </c:pt>
                <c:pt idx="4">
                  <c:v>2.9717237613095575E-2</c:v>
                </c:pt>
                <c:pt idx="5">
                  <c:v>4.7017834531935573E-2</c:v>
                </c:pt>
                <c:pt idx="6">
                  <c:v>7.248690934010249E-2</c:v>
                </c:pt>
                <c:pt idx="7">
                  <c:v>0.10849748469859083</c:v>
                </c:pt>
                <c:pt idx="8">
                  <c:v>0.14421919099767552</c:v>
                </c:pt>
                <c:pt idx="9">
                  <c:v>0.16050947105087604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04-43FE-AA40-7339983E98BE}"/>
            </c:ext>
          </c:extLst>
        </c:ser>
        <c:ser>
          <c:idx val="1"/>
          <c:order val="1"/>
          <c:tx>
            <c:strRef>
              <c:f>OD_Ratio!$P$58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OD_Ratio!$Q$56:$Z$56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OD_Ratio!$Q$58:$Z$58</c:f>
              <c:numCache>
                <c:formatCode>0.00%</c:formatCode>
                <c:ptCount val="10"/>
                <c:pt idx="0">
                  <c:v>4.365537681452724E-2</c:v>
                </c:pt>
                <c:pt idx="1">
                  <c:v>5.3679987556922881E-2</c:v>
                </c:pt>
                <c:pt idx="2">
                  <c:v>0.43847145260742537</c:v>
                </c:pt>
                <c:pt idx="3">
                  <c:v>0.52532840637926759</c:v>
                </c:pt>
                <c:pt idx="4">
                  <c:v>0.47239294199690046</c:v>
                </c:pt>
                <c:pt idx="5">
                  <c:v>0.41088338489956711</c:v>
                </c:pt>
                <c:pt idx="6">
                  <c:v>0.40597763242727053</c:v>
                </c:pt>
                <c:pt idx="7">
                  <c:v>0.39471685004304752</c:v>
                </c:pt>
                <c:pt idx="8">
                  <c:v>0.35671024415338909</c:v>
                </c:pt>
                <c:pt idx="9">
                  <c:v>0.28907278420748272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904-43FE-AA40-7339983E9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162192"/>
        <c:axId val="59161712"/>
      </c:lineChart>
      <c:catAx>
        <c:axId val="5916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61712"/>
        <c:crosses val="autoZero"/>
        <c:auto val="1"/>
        <c:lblAlgn val="ctr"/>
        <c:lblOffset val="100"/>
        <c:noMultiLvlLbl val="0"/>
      </c:catAx>
      <c:valAx>
        <c:axId val="5916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6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Liquidity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OD_Ratio!$P$63</c:f>
              <c:strCache>
                <c:ptCount val="1"/>
                <c:pt idx="0">
                  <c:v>Current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OD_Ratio!$Q$62:$Z$62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OD_Ratio!$Q$63:$Z$63</c:f>
              <c:numCache>
                <c:formatCode>0.00"x"</c:formatCode>
                <c:ptCount val="10"/>
                <c:pt idx="0">
                  <c:v>1.9751722713258983</c:v>
                </c:pt>
                <c:pt idx="1">
                  <c:v>2.3191014701531469</c:v>
                </c:pt>
                <c:pt idx="2">
                  <c:v>1.3554799233291694</c:v>
                </c:pt>
                <c:pt idx="3">
                  <c:v>2.9663193734630378</c:v>
                </c:pt>
                <c:pt idx="4">
                  <c:v>0.6136149011113412</c:v>
                </c:pt>
                <c:pt idx="5">
                  <c:v>0.6995749608665397</c:v>
                </c:pt>
                <c:pt idx="6">
                  <c:v>0.83916974033614167</c:v>
                </c:pt>
                <c:pt idx="7">
                  <c:v>1.073677888795415</c:v>
                </c:pt>
                <c:pt idx="8">
                  <c:v>1.1096522604167827</c:v>
                </c:pt>
                <c:pt idx="9">
                  <c:v>1.1054479869907039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97-4231-8A14-2F0D74DC876C}"/>
            </c:ext>
          </c:extLst>
        </c:ser>
        <c:ser>
          <c:idx val="1"/>
          <c:order val="1"/>
          <c:tx>
            <c:strRef>
              <c:f>OD_Ratio!$P$64</c:f>
              <c:strCache>
                <c:ptCount val="1"/>
                <c:pt idx="0">
                  <c:v>Quick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OD_Ratio!$Q$62:$Z$62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OD_Ratio!$Q$64:$Z$64</c:f>
              <c:numCache>
                <c:formatCode>0.00"x"</c:formatCode>
                <c:ptCount val="10"/>
                <c:pt idx="0">
                  <c:v>1.7997699754156447</c:v>
                </c:pt>
                <c:pt idx="1">
                  <c:v>2.0901550074856186</c:v>
                </c:pt>
                <c:pt idx="2">
                  <c:v>1.2870361150337239</c:v>
                </c:pt>
                <c:pt idx="3">
                  <c:v>2.7877769943615753</c:v>
                </c:pt>
                <c:pt idx="4">
                  <c:v>0.54570117977346966</c:v>
                </c:pt>
                <c:pt idx="5">
                  <c:v>0.60884919885243227</c:v>
                </c:pt>
                <c:pt idx="6">
                  <c:v>0.72040977538833384</c:v>
                </c:pt>
                <c:pt idx="7">
                  <c:v>0.90894541022754149</c:v>
                </c:pt>
                <c:pt idx="8">
                  <c:v>0.93653042465944702</c:v>
                </c:pt>
                <c:pt idx="9">
                  <c:v>0.93040852698059673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997-4231-8A14-2F0D74DC876C}"/>
            </c:ext>
          </c:extLst>
        </c:ser>
        <c:ser>
          <c:idx val="2"/>
          <c:order val="2"/>
          <c:tx>
            <c:strRef>
              <c:f>OD_Ratio!$P$65</c:f>
              <c:strCache>
                <c:ptCount val="1"/>
                <c:pt idx="0">
                  <c:v>Cash Ratio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OD_Ratio!$Q$62:$Z$62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OD_Ratio!$Q$65:$Z$65</c:f>
              <c:numCache>
                <c:formatCode>0.00"x"</c:formatCode>
                <c:ptCount val="10"/>
                <c:pt idx="0">
                  <c:v>8.4067712570240899E-2</c:v>
                </c:pt>
                <c:pt idx="1">
                  <c:v>2.1269790505787659E-2</c:v>
                </c:pt>
                <c:pt idx="2">
                  <c:v>0.14274995803134624</c:v>
                </c:pt>
                <c:pt idx="3">
                  <c:v>0.71841655773466917</c:v>
                </c:pt>
                <c:pt idx="4">
                  <c:v>0.21433647551604085</c:v>
                </c:pt>
                <c:pt idx="5">
                  <c:v>0.23674333700161215</c:v>
                </c:pt>
                <c:pt idx="6">
                  <c:v>0.27425574121701218</c:v>
                </c:pt>
                <c:pt idx="7">
                  <c:v>0.34891124643768251</c:v>
                </c:pt>
                <c:pt idx="8">
                  <c:v>0.3426124601968713</c:v>
                </c:pt>
                <c:pt idx="9">
                  <c:v>0.32991189213927985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997-4231-8A14-2F0D74DC8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064464"/>
        <c:axId val="786063504"/>
      </c:lineChart>
      <c:catAx>
        <c:axId val="78606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63504"/>
        <c:crosses val="autoZero"/>
        <c:auto val="1"/>
        <c:lblAlgn val="ctr"/>
        <c:lblOffset val="100"/>
        <c:noMultiLvlLbl val="0"/>
      </c:catAx>
      <c:valAx>
        <c:axId val="78606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x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6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Solvency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OD_Ratio!$P$69</c:f>
              <c:strCache>
                <c:ptCount val="1"/>
                <c:pt idx="0">
                  <c:v>Debt-to-Assets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OD_Ratio!$Q$68:$Z$68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OD_Ratio!$Q$69:$Z$69</c:f>
              <c:numCache>
                <c:formatCode>0.00%</c:formatCode>
                <c:ptCount val="10"/>
                <c:pt idx="0">
                  <c:v>7.2654516987199089E-2</c:v>
                </c:pt>
                <c:pt idx="1">
                  <c:v>0.11123322107585394</c:v>
                </c:pt>
                <c:pt idx="2">
                  <c:v>0.20512431833246916</c:v>
                </c:pt>
                <c:pt idx="3">
                  <c:v>0.11125636259658357</c:v>
                </c:pt>
                <c:pt idx="4">
                  <c:v>0.64636538889711614</c:v>
                </c:pt>
                <c:pt idx="5">
                  <c:v>0.52580285865359866</c:v>
                </c:pt>
                <c:pt idx="6">
                  <c:v>0.38241979087720529</c:v>
                </c:pt>
                <c:pt idx="7">
                  <c:v>0.19246529628604303</c:v>
                </c:pt>
                <c:pt idx="8">
                  <c:v>0.17630262139120184</c:v>
                </c:pt>
                <c:pt idx="9">
                  <c:v>0.18773462660371312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AB-4DB2-89AE-1DCE50237A48}"/>
            </c:ext>
          </c:extLst>
        </c:ser>
        <c:ser>
          <c:idx val="1"/>
          <c:order val="1"/>
          <c:tx>
            <c:strRef>
              <c:f>OD_Ratio!$P$70</c:f>
              <c:strCache>
                <c:ptCount val="1"/>
                <c:pt idx="0">
                  <c:v>Debt-to-Equity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OD_Ratio!$Q$68:$Z$68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OD_Ratio!$Q$70:$Z$70</c:f>
              <c:numCache>
                <c:formatCode>0.00%</c:formatCode>
                <c:ptCount val="10"/>
                <c:pt idx="0">
                  <c:v>0.16557253961860102</c:v>
                </c:pt>
                <c:pt idx="1">
                  <c:v>0.51016287609556987</c:v>
                </c:pt>
                <c:pt idx="2">
                  <c:v>3.1564531104675191</c:v>
                </c:pt>
                <c:pt idx="3">
                  <c:v>2.6118323554977882</c:v>
                </c:pt>
                <c:pt idx="4">
                  <c:v>7.2477729497211616</c:v>
                </c:pt>
                <c:pt idx="5">
                  <c:v>3.7374109646302132</c:v>
                </c:pt>
                <c:pt idx="6">
                  <c:v>1.7517701921982824</c:v>
                </c:pt>
                <c:pt idx="7">
                  <c:v>0.57348661551577929</c:v>
                </c:pt>
                <c:pt idx="8">
                  <c:v>0.37030487609699286</c:v>
                </c:pt>
                <c:pt idx="9">
                  <c:v>0.2935445547851333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0AB-4DB2-89AE-1DCE50237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52624"/>
        <c:axId val="59853104"/>
      </c:lineChart>
      <c:catAx>
        <c:axId val="5985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3104"/>
        <c:crosses val="autoZero"/>
        <c:auto val="1"/>
        <c:lblAlgn val="ctr"/>
        <c:lblOffset val="100"/>
        <c:noMultiLvlLbl val="0"/>
      </c:catAx>
      <c:valAx>
        <c:axId val="5985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Activity (days)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OD_Ratio!$P$75</c:f>
              <c:strCache>
                <c:ptCount val="1"/>
                <c:pt idx="0">
                  <c:v>DSO (AR days)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OD_Ratio!$Q$74:$Z$74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OD_Ratio!$Q$75:$Z$75</c:f>
              <c:numCache>
                <c:formatCode>0.0</c:formatCode>
                <c:ptCount val="10"/>
                <c:pt idx="0">
                  <c:v>930.06476612029405</c:v>
                </c:pt>
                <c:pt idx="1">
                  <c:v>614.74805311133446</c:v>
                </c:pt>
                <c:pt idx="2">
                  <c:v>346.34903935648128</c:v>
                </c:pt>
                <c:pt idx="3">
                  <c:v>268.0197631093618</c:v>
                </c:pt>
                <c:pt idx="4">
                  <c:v>171.78946991670267</c:v>
                </c:pt>
                <c:pt idx="5">
                  <c:v>99.180327868852444</c:v>
                </c:pt>
                <c:pt idx="6">
                  <c:v>88.478260869565219</c:v>
                </c:pt>
                <c:pt idx="7">
                  <c:v>80.540540540540547</c:v>
                </c:pt>
                <c:pt idx="8">
                  <c:v>77.037037037037024</c:v>
                </c:pt>
                <c:pt idx="9">
                  <c:v>78.095238095238088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24-4109-A172-2640B9C5E2C2}"/>
            </c:ext>
          </c:extLst>
        </c:ser>
        <c:ser>
          <c:idx val="1"/>
          <c:order val="1"/>
          <c:tx>
            <c:strRef>
              <c:f>OD_Ratio!$P$76</c:f>
              <c:strCache>
                <c:ptCount val="1"/>
                <c:pt idx="0">
                  <c:v>DOH (Inv days)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OD_Ratio!$Q$74:$Z$74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OD_Ratio!$Q$76:$Z$76</c:f>
              <c:numCache>
                <c:formatCode>0.0</c:formatCode>
                <c:ptCount val="10"/>
                <c:pt idx="0">
                  <c:v>40.247904021167614</c:v>
                </c:pt>
                <c:pt idx="1">
                  <c:v>27.502707636416098</c:v>
                </c:pt>
                <c:pt idx="2">
                  <c:v>14.931599657028629</c:v>
                </c:pt>
                <c:pt idx="3">
                  <c:v>17.770415870894848</c:v>
                </c:pt>
                <c:pt idx="4">
                  <c:v>20.25780636324917</c:v>
                </c:pt>
                <c:pt idx="5">
                  <c:v>19.433721318782641</c:v>
                </c:pt>
                <c:pt idx="6">
                  <c:v>20.082494854437861</c:v>
                </c:pt>
                <c:pt idx="7">
                  <c:v>20.428894513412356</c:v>
                </c:pt>
                <c:pt idx="8">
                  <c:v>20.582764191699486</c:v>
                </c:pt>
                <c:pt idx="9">
                  <c:v>20.742379679884891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24-4109-A172-2640B9C5E2C2}"/>
            </c:ext>
          </c:extLst>
        </c:ser>
        <c:ser>
          <c:idx val="2"/>
          <c:order val="2"/>
          <c:tx>
            <c:strRef>
              <c:f>OD_Ratio!$P$77</c:f>
              <c:strCache>
                <c:ptCount val="1"/>
                <c:pt idx="0">
                  <c:v>DOP (AP days)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OD_Ratio!$Q$74:$Z$74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OD_Ratio!$Q$77:$Z$77</c:f>
              <c:numCache>
                <c:formatCode>0.0</c:formatCode>
                <c:ptCount val="10"/>
                <c:pt idx="0">
                  <c:v>148.42927975919673</c:v>
                </c:pt>
                <c:pt idx="1">
                  <c:v>111.62140225056201</c:v>
                </c:pt>
                <c:pt idx="2">
                  <c:v>50.305257483939826</c:v>
                </c:pt>
                <c:pt idx="3">
                  <c:v>36.740764965325937</c:v>
                </c:pt>
                <c:pt idx="4">
                  <c:v>33.785356010735349</c:v>
                </c:pt>
                <c:pt idx="5">
                  <c:v>34.951443746348431</c:v>
                </c:pt>
                <c:pt idx="6">
                  <c:v>36.118259476779706</c:v>
                </c:pt>
                <c:pt idx="7">
                  <c:v>36.741257408869004</c:v>
                </c:pt>
                <c:pt idx="8">
                  <c:v>37.017991201471219</c:v>
                </c:pt>
                <c:pt idx="9">
                  <c:v>37.305058802413207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C24-4109-A172-2640B9C5E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452352"/>
        <c:axId val="263451872"/>
      </c:lineChart>
      <c:catAx>
        <c:axId val="26345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451872"/>
        <c:crosses val="autoZero"/>
        <c:auto val="1"/>
        <c:lblAlgn val="ctr"/>
        <c:lblOffset val="100"/>
        <c:noMultiLvlLbl val="0"/>
      </c:catAx>
      <c:valAx>
        <c:axId val="26345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45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Asset Turnover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OD_Ratio!$P$81</c:f>
              <c:strCache>
                <c:ptCount val="1"/>
                <c:pt idx="0">
                  <c:v>FA Turnover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OD_Ratio!$Q$80:$Z$80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OD_Ratio!$Q$81:$Z$81</c:f>
              <c:numCache>
                <c:formatCode>0.00"x"</c:formatCode>
                <c:ptCount val="10"/>
                <c:pt idx="0">
                  <c:v>2.8193553359782202</c:v>
                </c:pt>
                <c:pt idx="1">
                  <c:v>2.695481918895688</c:v>
                </c:pt>
                <c:pt idx="2">
                  <c:v>2.6130793310255864</c:v>
                </c:pt>
                <c:pt idx="3">
                  <c:v>2.5723583837939263</c:v>
                </c:pt>
                <c:pt idx="4">
                  <c:v>2.9853361415679855</c:v>
                </c:pt>
                <c:pt idx="5">
                  <c:v>3.0849318082209791</c:v>
                </c:pt>
                <c:pt idx="6">
                  <c:v>3.090099726487018</c:v>
                </c:pt>
                <c:pt idx="7">
                  <c:v>3.0343276673886503</c:v>
                </c:pt>
                <c:pt idx="8">
                  <c:v>2.9097782959429237</c:v>
                </c:pt>
                <c:pt idx="9">
                  <c:v>2.7296209473958424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09-402E-98D9-4AA335285BD9}"/>
            </c:ext>
          </c:extLst>
        </c:ser>
        <c:ser>
          <c:idx val="1"/>
          <c:order val="1"/>
          <c:tx>
            <c:strRef>
              <c:f>OD_Ratio!$P$82</c:f>
              <c:strCache>
                <c:ptCount val="1"/>
                <c:pt idx="0">
                  <c:v>Total Asset Turnover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OD_Ratio!$Q$80:$Z$80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OD_Ratio!$Q$82:$Z$82</c:f>
              <c:numCache>
                <c:formatCode>0.00"x"</c:formatCode>
                <c:ptCount val="10"/>
                <c:pt idx="0">
                  <c:v>0.23265025256815655</c:v>
                </c:pt>
                <c:pt idx="1">
                  <c:v>0.2570380781992786</c:v>
                </c:pt>
                <c:pt idx="2">
                  <c:v>0.4360832601115151</c:v>
                </c:pt>
                <c:pt idx="3">
                  <c:v>0.55741277754832119</c:v>
                </c:pt>
                <c:pt idx="4">
                  <c:v>0.78386421733571088</c:v>
                </c:pt>
                <c:pt idx="5">
                  <c:v>1.1180930568606662</c:v>
                </c:pt>
                <c:pt idx="6">
                  <c:v>1.3433926980292401</c:v>
                </c:pt>
                <c:pt idx="7">
                  <c:v>1.5826748417463274</c:v>
                </c:pt>
                <c:pt idx="8">
                  <c:v>1.8112671456811018</c:v>
                </c:pt>
                <c:pt idx="9">
                  <c:v>2.0058103840559767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09-402E-98D9-4AA335285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374496"/>
        <c:axId val="660374976"/>
      </c:lineChart>
      <c:catAx>
        <c:axId val="66037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74976"/>
        <c:crosses val="autoZero"/>
        <c:auto val="1"/>
        <c:lblAlgn val="ctr"/>
        <c:lblOffset val="100"/>
        <c:noMultiLvlLbl val="0"/>
      </c:catAx>
      <c:valAx>
        <c:axId val="66037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x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7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527050</xdr:colOff>
      <xdr:row>0</xdr:row>
      <xdr:rowOff>0</xdr:rowOff>
    </xdr:from>
    <xdr:to>
      <xdr:col>24</xdr:col>
      <xdr:colOff>6350</xdr:colOff>
      <xdr:row>20</xdr:row>
      <xdr:rowOff>82550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BD6805E-1A90-6E5C-1B7F-9B7BC0D9A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133350</xdr:colOff>
      <xdr:row>0</xdr:row>
      <xdr:rowOff>0</xdr:rowOff>
    </xdr:from>
    <xdr:to>
      <xdr:col>32</xdr:col>
      <xdr:colOff>730250</xdr:colOff>
      <xdr:row>20</xdr:row>
      <xdr:rowOff>82550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D25ABA8-8882-95F9-C0E1-92CD14569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527050</xdr:colOff>
      <xdr:row>21</xdr:row>
      <xdr:rowOff>152400</xdr:rowOff>
    </xdr:from>
    <xdr:to>
      <xdr:col>24</xdr:col>
      <xdr:colOff>6350</xdr:colOff>
      <xdr:row>42</xdr:row>
      <xdr:rowOff>95250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34E0973-709D-F3F8-9B91-75A71C3B6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133350</xdr:colOff>
      <xdr:row>21</xdr:row>
      <xdr:rowOff>152400</xdr:rowOff>
    </xdr:from>
    <xdr:to>
      <xdr:col>32</xdr:col>
      <xdr:colOff>730250</xdr:colOff>
      <xdr:row>42</xdr:row>
      <xdr:rowOff>95250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DEC0298-ADF0-2290-EB95-D65A666A9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527050</xdr:colOff>
      <xdr:row>43</xdr:row>
      <xdr:rowOff>165100</xdr:rowOff>
    </xdr:from>
    <xdr:to>
      <xdr:col>24</xdr:col>
      <xdr:colOff>6350</xdr:colOff>
      <xdr:row>58</xdr:row>
      <xdr:rowOff>234950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365A84F-A743-93FB-27EC-B691DBBA1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133350</xdr:colOff>
      <xdr:row>43</xdr:row>
      <xdr:rowOff>165100</xdr:rowOff>
    </xdr:from>
    <xdr:to>
      <xdr:col>32</xdr:col>
      <xdr:colOff>730250</xdr:colOff>
      <xdr:row>58</xdr:row>
      <xdr:rowOff>234950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1759D8A-A4D1-BB9A-D739-190215A29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37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2BDF7F-46C5-49F0-B21D-2191E637E7C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f2e4cb6-7109-47eb-a483-d5484ef5d72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pages.stern.nyu.edu/~adamodar/pc/datasets/?C=M;O=D" TargetMode="External"/><Relationship Id="rId7" Type="http://schemas.openxmlformats.org/officeDocument/2006/relationships/comments" Target="../comments6.xml"/><Relationship Id="rId2" Type="http://schemas.openxmlformats.org/officeDocument/2006/relationships/hyperlink" Target="https://pages.stern.nyu.edu/~adamodar/pc/datasets/?C=M;O=D" TargetMode="External"/><Relationship Id="rId1" Type="http://schemas.openxmlformats.org/officeDocument/2006/relationships/hyperlink" Target="https://pages.stern.nyu.edu/~adamodar/pc/datasets/?C=M;O=D" TargetMode="External"/><Relationship Id="rId6" Type="http://schemas.openxmlformats.org/officeDocument/2006/relationships/vmlDrawing" Target="../drawings/vmlDrawing6.vm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https://pages.stern.nyu.edu/~adamodar/pc/datasets/?C=M;O=D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755D-38D3-46D7-974F-CB7C8F748700}">
  <sheetPr>
    <tabColor theme="9"/>
  </sheetPr>
  <dimension ref="A1:I136"/>
  <sheetViews>
    <sheetView topLeftCell="A46" zoomScale="80" zoomScaleNormal="80" workbookViewId="0">
      <selection activeCell="J19" sqref="J19"/>
    </sheetView>
  </sheetViews>
  <sheetFormatPr defaultColWidth="9.109375" defaultRowHeight="15" customHeight="1" outlineLevelRow="3" outlineLevelCol="1"/>
  <cols>
    <col min="1" max="1" width="39" style="2" bestFit="1" customWidth="1" outlineLevel="1"/>
    <col min="2" max="2" width="2.88671875" style="2" customWidth="1"/>
    <col min="3" max="3" width="42.33203125" style="2" bestFit="1" customWidth="1" outlineLevel="1"/>
    <col min="4" max="4" width="2.88671875" style="2" customWidth="1"/>
    <col min="5" max="9" width="16.77734375" style="2" bestFit="1" customWidth="1"/>
    <col min="10" max="13" width="9.109375" style="2"/>
    <col min="14" max="14" width="14.44140625" style="2" bestFit="1" customWidth="1"/>
    <col min="15" max="16384" width="9.109375" style="2"/>
  </cols>
  <sheetData>
    <row r="1" spans="1:9" ht="14.4">
      <c r="A1" s="666" t="s">
        <v>0</v>
      </c>
      <c r="B1" s="275"/>
      <c r="C1" s="666" t="s">
        <v>1</v>
      </c>
      <c r="D1" s="275"/>
      <c r="E1" s="400"/>
      <c r="F1" s="400"/>
      <c r="G1" s="400"/>
      <c r="H1" s="400"/>
      <c r="I1" s="401"/>
    </row>
    <row r="2" spans="1:9" thickBot="1">
      <c r="A2" s="667"/>
      <c r="B2" s="276"/>
      <c r="C2" s="667"/>
      <c r="D2" s="276"/>
      <c r="E2" s="404">
        <v>2021</v>
      </c>
      <c r="F2" s="404">
        <v>2022</v>
      </c>
      <c r="G2" s="404">
        <v>2023</v>
      </c>
      <c r="H2" s="404">
        <v>2024</v>
      </c>
      <c r="I2" s="405">
        <v>2025</v>
      </c>
    </row>
    <row r="3" spans="1:9" ht="14.4">
      <c r="A3" s="406" t="s">
        <v>2</v>
      </c>
      <c r="B3" s="406"/>
      <c r="C3" s="406" t="s">
        <v>3</v>
      </c>
      <c r="D3" s="406"/>
      <c r="E3" s="407"/>
      <c r="F3" s="407"/>
      <c r="G3" s="407"/>
      <c r="H3" s="407"/>
      <c r="I3" s="407"/>
    </row>
    <row r="4" spans="1:9" ht="14.4">
      <c r="A4" s="406" t="s">
        <v>4</v>
      </c>
      <c r="B4" s="406"/>
      <c r="C4" s="406" t="s">
        <v>5</v>
      </c>
      <c r="D4" s="406"/>
      <c r="E4" s="407"/>
      <c r="F4" s="407"/>
      <c r="G4" s="407"/>
      <c r="H4" s="407"/>
      <c r="I4" s="407"/>
    </row>
    <row r="5" spans="1:9" ht="14.4">
      <c r="A5" s="406" t="s">
        <v>6</v>
      </c>
      <c r="B5" s="406"/>
      <c r="C5" s="406" t="s">
        <v>7</v>
      </c>
      <c r="D5" s="406"/>
      <c r="E5" s="407"/>
      <c r="F5" s="407"/>
      <c r="G5" s="407"/>
      <c r="H5" s="407"/>
      <c r="I5" s="407"/>
    </row>
    <row r="6" spans="1:9" ht="14.4">
      <c r="A6" s="408" t="s">
        <v>8</v>
      </c>
      <c r="B6" s="408"/>
      <c r="C6" s="408" t="s">
        <v>9</v>
      </c>
      <c r="D6" s="408"/>
      <c r="E6" s="409">
        <v>1134580036184</v>
      </c>
      <c r="F6" s="409">
        <v>623158641225</v>
      </c>
      <c r="G6" s="409">
        <v>947639699363</v>
      </c>
      <c r="H6" s="409">
        <v>1305306889451</v>
      </c>
      <c r="I6" s="409">
        <v>1870935494083</v>
      </c>
    </row>
    <row r="7" spans="1:9" s="6" customFormat="1" ht="14.4" outlineLevel="1">
      <c r="A7" s="410" t="s">
        <v>10</v>
      </c>
      <c r="B7" s="410"/>
      <c r="C7" s="410" t="s">
        <v>11</v>
      </c>
      <c r="D7" s="410"/>
      <c r="E7" s="411">
        <v>4321225874</v>
      </c>
      <c r="F7" s="411">
        <v>26473013864</v>
      </c>
      <c r="G7" s="411">
        <v>8461339357</v>
      </c>
      <c r="H7" s="411">
        <v>136236074178</v>
      </c>
      <c r="I7" s="411">
        <v>288524181242</v>
      </c>
    </row>
    <row r="8" spans="1:9" ht="14.4" outlineLevel="2">
      <c r="A8" s="412" t="s">
        <v>12</v>
      </c>
      <c r="B8" s="412"/>
      <c r="C8" s="412" t="s">
        <v>13</v>
      </c>
      <c r="D8" s="412"/>
      <c r="E8" s="413">
        <v>4321225874</v>
      </c>
      <c r="F8" s="413">
        <v>22373013864</v>
      </c>
      <c r="G8" s="413">
        <v>4261339357</v>
      </c>
      <c r="H8" s="413">
        <v>125344482100</v>
      </c>
      <c r="I8" s="413">
        <v>167000000000</v>
      </c>
    </row>
    <row r="9" spans="1:9" ht="14.4" outlineLevel="2">
      <c r="A9" s="412" t="s">
        <v>14</v>
      </c>
      <c r="B9" s="412"/>
      <c r="C9" s="412" t="s">
        <v>15</v>
      </c>
      <c r="D9" s="412"/>
      <c r="E9" s="413"/>
      <c r="F9" s="413">
        <v>4100000000</v>
      </c>
      <c r="G9" s="413">
        <v>4200000000</v>
      </c>
      <c r="H9" s="413">
        <v>10891592078</v>
      </c>
      <c r="I9" s="413"/>
    </row>
    <row r="10" spans="1:9" s="6" customFormat="1" ht="14.4" outlineLevel="1">
      <c r="A10" s="410" t="s">
        <v>16</v>
      </c>
      <c r="B10" s="410"/>
      <c r="C10" s="410" t="s">
        <v>17</v>
      </c>
      <c r="D10" s="410"/>
      <c r="E10" s="411">
        <v>4900000000</v>
      </c>
      <c r="F10" s="411">
        <v>50000000</v>
      </c>
      <c r="G10" s="411">
        <v>230000000</v>
      </c>
      <c r="H10" s="411">
        <v>1230000000</v>
      </c>
      <c r="I10" s="411">
        <v>164600000000</v>
      </c>
    </row>
    <row r="11" spans="1:9" ht="14.4" outlineLevel="2">
      <c r="A11" s="412" t="s">
        <v>18</v>
      </c>
      <c r="B11" s="412"/>
      <c r="C11" s="412" t="s">
        <v>19</v>
      </c>
      <c r="D11" s="412"/>
      <c r="E11" s="413"/>
      <c r="F11" s="413"/>
      <c r="G11" s="413"/>
      <c r="H11" s="413"/>
      <c r="I11" s="413"/>
    </row>
    <row r="12" spans="1:9" ht="14.4" outlineLevel="2">
      <c r="A12" s="412" t="s">
        <v>20</v>
      </c>
      <c r="B12" s="412"/>
      <c r="C12" s="412" t="s">
        <v>21</v>
      </c>
      <c r="D12" s="412"/>
      <c r="E12" s="413"/>
      <c r="F12" s="413"/>
      <c r="G12" s="413"/>
      <c r="H12" s="413"/>
      <c r="I12" s="413"/>
    </row>
    <row r="13" spans="1:9" ht="14.4" outlineLevel="2">
      <c r="A13" s="412" t="s">
        <v>22</v>
      </c>
      <c r="B13" s="412"/>
      <c r="C13" s="412" t="s">
        <v>23</v>
      </c>
      <c r="D13" s="412"/>
      <c r="E13" s="413">
        <v>4900000000</v>
      </c>
      <c r="F13" s="413">
        <v>50000000</v>
      </c>
      <c r="G13" s="413">
        <v>230000000</v>
      </c>
      <c r="H13" s="413">
        <v>1230000000</v>
      </c>
      <c r="I13" s="413">
        <v>164600000000</v>
      </c>
    </row>
    <row r="14" spans="1:9" s="6" customFormat="1" ht="14.4" outlineLevel="1">
      <c r="A14" s="410" t="s">
        <v>24</v>
      </c>
      <c r="B14" s="410"/>
      <c r="C14" s="410" t="s">
        <v>25</v>
      </c>
      <c r="D14" s="410"/>
      <c r="E14" s="411">
        <v>1059557585612</v>
      </c>
      <c r="F14" s="411">
        <v>541296932112</v>
      </c>
      <c r="G14" s="411">
        <v>845395421575</v>
      </c>
      <c r="H14" s="411">
        <v>1101930451740</v>
      </c>
      <c r="I14" s="411">
        <v>1305199947643</v>
      </c>
    </row>
    <row r="15" spans="1:9" ht="14.4" outlineLevel="2">
      <c r="A15" s="412" t="s">
        <v>26</v>
      </c>
      <c r="B15" s="412"/>
      <c r="C15" s="412" t="s">
        <v>27</v>
      </c>
      <c r="D15" s="412"/>
      <c r="E15" s="413">
        <v>117379744019</v>
      </c>
      <c r="F15" s="413">
        <v>161650767393</v>
      </c>
      <c r="G15" s="413">
        <v>239558303914</v>
      </c>
      <c r="H15" s="413">
        <v>351157857253</v>
      </c>
      <c r="I15" s="413">
        <v>539420115084</v>
      </c>
    </row>
    <row r="16" spans="1:9" ht="14.4" outlineLevel="2">
      <c r="A16" s="412" t="s">
        <v>28</v>
      </c>
      <c r="B16" s="412"/>
      <c r="C16" s="412" t="s">
        <v>29</v>
      </c>
      <c r="D16" s="412"/>
      <c r="E16" s="413">
        <v>217954579335</v>
      </c>
      <c r="F16" s="413">
        <v>82005142464</v>
      </c>
      <c r="G16" s="413">
        <v>80957663203</v>
      </c>
      <c r="H16" s="413">
        <v>353377447486</v>
      </c>
      <c r="I16" s="413">
        <v>369672191130</v>
      </c>
    </row>
    <row r="17" spans="1:9" ht="14.4" outlineLevel="2">
      <c r="A17" s="412" t="s">
        <v>30</v>
      </c>
      <c r="B17" s="412"/>
      <c r="C17" s="412" t="s">
        <v>31</v>
      </c>
      <c r="D17" s="412"/>
      <c r="E17" s="414"/>
      <c r="F17" s="414"/>
      <c r="G17" s="414"/>
      <c r="H17" s="414"/>
      <c r="I17" s="414"/>
    </row>
    <row r="18" spans="1:9" ht="14.4" outlineLevel="2">
      <c r="A18" s="412" t="s">
        <v>32</v>
      </c>
      <c r="B18" s="412"/>
      <c r="C18" s="412" t="s">
        <v>33</v>
      </c>
      <c r="D18" s="412"/>
      <c r="E18" s="414"/>
      <c r="F18" s="414"/>
      <c r="G18" s="414"/>
      <c r="H18" s="414"/>
      <c r="I18" s="414"/>
    </row>
    <row r="19" spans="1:9" ht="14.4" outlineLevel="2">
      <c r="A19" s="412" t="s">
        <v>34</v>
      </c>
      <c r="B19" s="412"/>
      <c r="C19" s="412" t="s">
        <v>35</v>
      </c>
      <c r="D19" s="412"/>
      <c r="E19" s="414">
        <v>1915829000</v>
      </c>
      <c r="F19" s="414">
        <v>164433231206</v>
      </c>
      <c r="G19" s="414">
        <v>266334265625</v>
      </c>
      <c r="H19" s="414">
        <v>355269960018</v>
      </c>
      <c r="I19" s="414"/>
    </row>
    <row r="20" spans="1:9" ht="14.4" outlineLevel="2">
      <c r="A20" s="412" t="s">
        <v>36</v>
      </c>
      <c r="B20" s="412"/>
      <c r="C20" s="412" t="s">
        <v>37</v>
      </c>
      <c r="D20" s="412"/>
      <c r="E20" s="413">
        <v>757590749230</v>
      </c>
      <c r="F20" s="413">
        <v>209178378379</v>
      </c>
      <c r="G20" s="413">
        <v>340356202385</v>
      </c>
      <c r="H20" s="413">
        <v>113140517320</v>
      </c>
      <c r="I20" s="413">
        <v>161724203814</v>
      </c>
    </row>
    <row r="21" spans="1:9" ht="14.4" outlineLevel="2">
      <c r="A21" s="412" t="s">
        <v>38</v>
      </c>
      <c r="B21" s="412"/>
      <c r="C21" s="412" t="s">
        <v>39</v>
      </c>
      <c r="D21" s="412"/>
      <c r="E21" s="413">
        <v>-35283315972</v>
      </c>
      <c r="F21" s="413">
        <v>-75970587330</v>
      </c>
      <c r="G21" s="413">
        <v>-81811013552</v>
      </c>
      <c r="H21" s="413">
        <v>-71015330337</v>
      </c>
      <c r="I21" s="413">
        <v>-21679830385</v>
      </c>
    </row>
    <row r="22" spans="1:9" ht="14.4" outlineLevel="2">
      <c r="A22" s="412" t="s">
        <v>40</v>
      </c>
      <c r="B22" s="412"/>
      <c r="C22" s="412" t="s">
        <v>41</v>
      </c>
      <c r="D22" s="412"/>
      <c r="E22" s="413"/>
      <c r="F22" s="413"/>
      <c r="G22" s="413"/>
      <c r="H22" s="413"/>
      <c r="I22" s="413"/>
    </row>
    <row r="23" spans="1:9" s="6" customFormat="1" ht="14.4" outlineLevel="1">
      <c r="A23" s="410" t="s">
        <v>42</v>
      </c>
      <c r="B23" s="410"/>
      <c r="C23" s="410" t="s">
        <v>43</v>
      </c>
      <c r="D23" s="410"/>
      <c r="E23" s="411">
        <v>30723500694</v>
      </c>
      <c r="F23" s="411">
        <v>15511002401</v>
      </c>
      <c r="G23" s="411">
        <v>29168608393</v>
      </c>
      <c r="H23" s="411">
        <v>40804852414</v>
      </c>
      <c r="I23" s="411">
        <v>97855839839</v>
      </c>
    </row>
    <row r="24" spans="1:9" ht="14.4" outlineLevel="2">
      <c r="A24" s="412" t="s">
        <v>44</v>
      </c>
      <c r="B24" s="412"/>
      <c r="C24" s="412" t="s">
        <v>45</v>
      </c>
      <c r="D24" s="412"/>
      <c r="E24" s="413">
        <v>96101925885</v>
      </c>
      <c r="F24" s="413">
        <v>75467022274</v>
      </c>
      <c r="G24" s="413">
        <v>63724327379</v>
      </c>
      <c r="H24" s="413">
        <v>40804852414</v>
      </c>
      <c r="I24" s="413">
        <v>97855839839</v>
      </c>
    </row>
    <row r="25" spans="1:9" ht="14.4" outlineLevel="2">
      <c r="A25" s="412" t="s">
        <v>46</v>
      </c>
      <c r="B25" s="412"/>
      <c r="C25" s="412" t="s">
        <v>47</v>
      </c>
      <c r="D25" s="412"/>
      <c r="E25" s="413">
        <v>-65378425191</v>
      </c>
      <c r="F25" s="413">
        <v>-59956019873</v>
      </c>
      <c r="G25" s="413">
        <v>-34555718986</v>
      </c>
      <c r="H25" s="413">
        <v>-34555718986</v>
      </c>
      <c r="I25" s="413"/>
    </row>
    <row r="26" spans="1:9" s="6" customFormat="1" ht="14.4" outlineLevel="1">
      <c r="A26" s="410" t="s">
        <v>48</v>
      </c>
      <c r="B26" s="410"/>
      <c r="C26" s="410" t="s">
        <v>49</v>
      </c>
      <c r="D26" s="410"/>
      <c r="E26" s="411">
        <v>35077724004</v>
      </c>
      <c r="F26" s="411">
        <v>39827692848</v>
      </c>
      <c r="G26" s="411">
        <v>64384330038</v>
      </c>
      <c r="H26" s="411">
        <v>25105511119</v>
      </c>
      <c r="I26" s="411">
        <v>14755525359</v>
      </c>
    </row>
    <row r="27" spans="1:9" ht="14.4" outlineLevel="2">
      <c r="A27" s="412" t="s">
        <v>50</v>
      </c>
      <c r="B27" s="412"/>
      <c r="C27" s="412" t="s">
        <v>51</v>
      </c>
      <c r="D27" s="412"/>
      <c r="E27" s="413">
        <v>17929095329</v>
      </c>
      <c r="F27" s="413">
        <v>27938305891</v>
      </c>
      <c r="G27" s="413">
        <v>50416954766</v>
      </c>
      <c r="H27" s="413">
        <v>15054268237</v>
      </c>
      <c r="I27" s="413">
        <v>9851906402</v>
      </c>
    </row>
    <row r="28" spans="1:9" ht="14.4" outlineLevel="2">
      <c r="A28" s="412" t="s">
        <v>52</v>
      </c>
      <c r="B28" s="412"/>
      <c r="C28" s="412" t="s">
        <v>53</v>
      </c>
      <c r="D28" s="412"/>
      <c r="E28" s="413">
        <v>17043590290</v>
      </c>
      <c r="F28" s="413">
        <v>11733669810</v>
      </c>
      <c r="G28" s="413">
        <v>13954750488</v>
      </c>
      <c r="H28" s="413">
        <v>10019963592</v>
      </c>
      <c r="I28" s="413">
        <v>4872339667</v>
      </c>
    </row>
    <row r="29" spans="1:9" ht="14.4" outlineLevel="2">
      <c r="A29" s="412" t="s">
        <v>54</v>
      </c>
      <c r="B29" s="412"/>
      <c r="C29" s="412" t="s">
        <v>55</v>
      </c>
      <c r="D29" s="412"/>
      <c r="E29" s="413">
        <v>105038385</v>
      </c>
      <c r="F29" s="413">
        <v>155717147</v>
      </c>
      <c r="G29" s="413">
        <v>12624784</v>
      </c>
      <c r="H29" s="413">
        <v>31279290</v>
      </c>
      <c r="I29" s="413">
        <v>31279290</v>
      </c>
    </row>
    <row r="30" spans="1:9" ht="14.4" outlineLevel="2">
      <c r="A30" s="412" t="s">
        <v>56</v>
      </c>
      <c r="B30" s="412"/>
      <c r="C30" s="412" t="s">
        <v>57</v>
      </c>
      <c r="D30" s="412"/>
      <c r="E30" s="413"/>
      <c r="F30" s="413"/>
      <c r="G30" s="413"/>
      <c r="H30" s="413"/>
      <c r="I30" s="413"/>
    </row>
    <row r="31" spans="1:9" ht="14.4" outlineLevel="2">
      <c r="A31" s="412" t="s">
        <v>58</v>
      </c>
      <c r="B31" s="412"/>
      <c r="C31" s="412" t="s">
        <v>59</v>
      </c>
      <c r="D31" s="412"/>
      <c r="E31" s="413"/>
      <c r="F31" s="413"/>
      <c r="G31" s="413"/>
      <c r="H31" s="413"/>
      <c r="I31" s="413"/>
    </row>
    <row r="32" spans="1:9" ht="14.4">
      <c r="A32" s="415" t="s">
        <v>60</v>
      </c>
      <c r="B32" s="415"/>
      <c r="C32" s="415" t="s">
        <v>61</v>
      </c>
      <c r="D32" s="415"/>
      <c r="E32" s="409">
        <v>237702799766</v>
      </c>
      <c r="F32" s="409">
        <v>617819241835</v>
      </c>
      <c r="G32" s="409">
        <v>912758343006</v>
      </c>
      <c r="H32" s="409">
        <v>1207562711144</v>
      </c>
      <c r="I32" s="409">
        <v>925445778563</v>
      </c>
    </row>
    <row r="33" spans="1:9" s="6" customFormat="1" ht="14.4" outlineLevel="1">
      <c r="A33" s="410" t="s">
        <v>62</v>
      </c>
      <c r="B33" s="410"/>
      <c r="C33" s="410" t="s">
        <v>63</v>
      </c>
      <c r="D33" s="410"/>
      <c r="E33" s="411">
        <v>42966607789</v>
      </c>
      <c r="F33" s="411">
        <v>368503496695</v>
      </c>
      <c r="G33" s="411">
        <v>389469485495</v>
      </c>
      <c r="H33" s="411">
        <v>477290973579</v>
      </c>
      <c r="I33" s="411">
        <v>223233334800</v>
      </c>
    </row>
    <row r="34" spans="1:9" ht="14.4" outlineLevel="2">
      <c r="A34" s="412" t="s">
        <v>64</v>
      </c>
      <c r="B34" s="412"/>
      <c r="C34" s="412" t="s">
        <v>65</v>
      </c>
      <c r="D34" s="412"/>
      <c r="E34" s="413"/>
      <c r="F34" s="413"/>
      <c r="G34" s="413"/>
      <c r="H34" s="413">
        <v>24000000000</v>
      </c>
      <c r="I34" s="413">
        <v>24000000000</v>
      </c>
    </row>
    <row r="35" spans="1:9" ht="14.4" outlineLevel="2">
      <c r="A35" s="412" t="s">
        <v>66</v>
      </c>
      <c r="B35" s="412"/>
      <c r="C35" s="412" t="s">
        <v>67</v>
      </c>
      <c r="D35" s="412"/>
      <c r="E35" s="413"/>
      <c r="F35" s="413"/>
      <c r="G35" s="413"/>
      <c r="H35" s="413"/>
      <c r="I35" s="413"/>
    </row>
    <row r="36" spans="1:9" ht="14.4" outlineLevel="2">
      <c r="A36" s="412" t="s">
        <v>68</v>
      </c>
      <c r="B36" s="412"/>
      <c r="C36" s="412" t="s">
        <v>69</v>
      </c>
      <c r="D36" s="412"/>
      <c r="E36" s="413"/>
      <c r="F36" s="413"/>
      <c r="G36" s="413"/>
      <c r="H36" s="413"/>
      <c r="I36" s="413"/>
    </row>
    <row r="37" spans="1:9" ht="14.4" outlineLevel="2">
      <c r="A37" s="412" t="s">
        <v>70</v>
      </c>
      <c r="B37" s="412"/>
      <c r="C37" s="412" t="s">
        <v>71</v>
      </c>
      <c r="D37" s="412"/>
      <c r="E37" s="413"/>
      <c r="F37" s="413"/>
      <c r="G37" s="413"/>
      <c r="H37" s="413"/>
      <c r="I37" s="413"/>
    </row>
    <row r="38" spans="1:9" ht="14.4" outlineLevel="2">
      <c r="A38" s="412" t="s">
        <v>72</v>
      </c>
      <c r="B38" s="412"/>
      <c r="C38" s="412" t="s">
        <v>73</v>
      </c>
      <c r="D38" s="412"/>
      <c r="E38" s="413">
        <v>39090075288</v>
      </c>
      <c r="F38" s="413">
        <v>119000000000</v>
      </c>
      <c r="G38" s="413">
        <v>44329575396</v>
      </c>
      <c r="H38" s="413">
        <v>10990000000</v>
      </c>
      <c r="I38" s="413">
        <v>19890000000</v>
      </c>
    </row>
    <row r="39" spans="1:9" ht="14.4" outlineLevel="2">
      <c r="A39" s="412" t="s">
        <v>74</v>
      </c>
      <c r="B39" s="412"/>
      <c r="C39" s="412" t="s">
        <v>75</v>
      </c>
      <c r="D39" s="412"/>
      <c r="E39" s="413">
        <v>3876532501</v>
      </c>
      <c r="F39" s="413">
        <v>249503496695</v>
      </c>
      <c r="G39" s="413">
        <v>345139910099</v>
      </c>
      <c r="H39" s="413">
        <v>442300973579</v>
      </c>
      <c r="I39" s="413">
        <v>203343334800</v>
      </c>
    </row>
    <row r="40" spans="1:9" ht="14.4" outlineLevel="2">
      <c r="A40" s="412" t="s">
        <v>76</v>
      </c>
      <c r="B40" s="412"/>
      <c r="C40" s="412" t="s">
        <v>77</v>
      </c>
      <c r="D40" s="412"/>
      <c r="E40" s="413"/>
      <c r="F40" s="413"/>
      <c r="G40" s="413"/>
      <c r="H40" s="413"/>
      <c r="I40" s="413"/>
    </row>
    <row r="41" spans="1:9" s="6" customFormat="1" ht="14.4" outlineLevel="1">
      <c r="A41" s="410" t="s">
        <v>78</v>
      </c>
      <c r="B41" s="410"/>
      <c r="C41" s="410" t="s">
        <v>79</v>
      </c>
      <c r="D41" s="410"/>
      <c r="E41" s="411">
        <v>30899153002</v>
      </c>
      <c r="F41" s="411">
        <v>12227445584</v>
      </c>
      <c r="G41" s="411">
        <v>86305316088</v>
      </c>
      <c r="H41" s="411">
        <v>208544841945</v>
      </c>
      <c r="I41" s="411">
        <v>223327926322</v>
      </c>
    </row>
    <row r="42" spans="1:9" ht="14.4" outlineLevel="2">
      <c r="A42" s="412" t="s">
        <v>80</v>
      </c>
      <c r="B42" s="412"/>
      <c r="C42" s="412" t="s">
        <v>81</v>
      </c>
      <c r="D42" s="412"/>
      <c r="E42" s="413">
        <v>2921208332</v>
      </c>
      <c r="F42" s="413">
        <v>1915044232</v>
      </c>
      <c r="G42" s="413">
        <v>1324037529</v>
      </c>
      <c r="H42" s="413">
        <v>10300656939</v>
      </c>
      <c r="I42" s="413">
        <v>5452363066</v>
      </c>
    </row>
    <row r="43" spans="1:9" ht="14.4" outlineLevel="3">
      <c r="A43" s="412" t="s">
        <v>82</v>
      </c>
      <c r="B43" s="412"/>
      <c r="C43" s="412" t="s">
        <v>83</v>
      </c>
      <c r="D43" s="412"/>
      <c r="E43" s="413">
        <v>19645497072</v>
      </c>
      <c r="F43" s="413">
        <v>32063148590</v>
      </c>
      <c r="G43" s="413">
        <v>14438805810</v>
      </c>
      <c r="H43" s="413">
        <v>16097844675</v>
      </c>
      <c r="I43" s="413">
        <v>12681738494</v>
      </c>
    </row>
    <row r="44" spans="1:9" ht="14.4" outlineLevel="3">
      <c r="A44" s="412" t="s">
        <v>84</v>
      </c>
      <c r="B44" s="412"/>
      <c r="C44" s="412" t="s">
        <v>85</v>
      </c>
      <c r="D44" s="412"/>
      <c r="E44" s="413">
        <v>-16724288740</v>
      </c>
      <c r="F44" s="413">
        <v>-30148104358</v>
      </c>
      <c r="G44" s="413">
        <v>-13114768281</v>
      </c>
      <c r="H44" s="413">
        <v>-5797187736</v>
      </c>
      <c r="I44" s="413">
        <v>-7229375428</v>
      </c>
    </row>
    <row r="45" spans="1:9" ht="14.4" outlineLevel="2">
      <c r="A45" s="412" t="s">
        <v>86</v>
      </c>
      <c r="B45" s="412"/>
      <c r="C45" s="412" t="s">
        <v>87</v>
      </c>
      <c r="D45" s="412"/>
      <c r="E45" s="413"/>
      <c r="F45" s="413"/>
      <c r="G45" s="413"/>
      <c r="H45" s="413"/>
      <c r="I45" s="413"/>
    </row>
    <row r="46" spans="1:9" ht="14.4" outlineLevel="3">
      <c r="A46" s="412" t="s">
        <v>88</v>
      </c>
      <c r="B46" s="412"/>
      <c r="C46" s="412" t="s">
        <v>83</v>
      </c>
      <c r="D46" s="412"/>
      <c r="E46" s="413"/>
      <c r="F46" s="413"/>
      <c r="G46" s="413"/>
      <c r="H46" s="413"/>
      <c r="I46" s="413"/>
    </row>
    <row r="47" spans="1:9" ht="14.4" outlineLevel="3">
      <c r="A47" s="412" t="s">
        <v>89</v>
      </c>
      <c r="B47" s="412"/>
      <c r="C47" s="412" t="s">
        <v>85</v>
      </c>
      <c r="D47" s="412"/>
      <c r="E47" s="413"/>
      <c r="F47" s="413"/>
      <c r="G47" s="413"/>
      <c r="H47" s="413"/>
      <c r="I47" s="413"/>
    </row>
    <row r="48" spans="1:9" ht="14.4" outlineLevel="2">
      <c r="A48" s="412" t="s">
        <v>90</v>
      </c>
      <c r="B48" s="412"/>
      <c r="C48" s="412" t="s">
        <v>91</v>
      </c>
      <c r="D48" s="412"/>
      <c r="E48" s="413">
        <v>27977944670</v>
      </c>
      <c r="F48" s="413">
        <v>10312401352</v>
      </c>
      <c r="G48" s="413">
        <v>84981278559</v>
      </c>
      <c r="H48" s="413">
        <v>198244185006</v>
      </c>
      <c r="I48" s="413">
        <v>217875563256</v>
      </c>
    </row>
    <row r="49" spans="1:9" ht="14.4" outlineLevel="3">
      <c r="A49" s="412" t="s">
        <v>92</v>
      </c>
      <c r="B49" s="412"/>
      <c r="C49" s="412" t="s">
        <v>83</v>
      </c>
      <c r="D49" s="412"/>
      <c r="E49" s="413">
        <v>37281440657</v>
      </c>
      <c r="F49" s="413">
        <v>19053507540</v>
      </c>
      <c r="G49" s="413">
        <v>102179503617</v>
      </c>
      <c r="H49" s="413">
        <v>243416211684</v>
      </c>
      <c r="I49" s="413">
        <v>310113732544</v>
      </c>
    </row>
    <row r="50" spans="1:9" ht="14.4" outlineLevel="3">
      <c r="A50" s="412" t="s">
        <v>93</v>
      </c>
      <c r="B50" s="412"/>
      <c r="C50" s="412" t="s">
        <v>85</v>
      </c>
      <c r="D50" s="412"/>
      <c r="E50" s="413">
        <v>-9303495987</v>
      </c>
      <c r="F50" s="413">
        <v>-8741106188</v>
      </c>
      <c r="G50" s="413">
        <v>-17198225058</v>
      </c>
      <c r="H50" s="413">
        <v>-45172026678</v>
      </c>
      <c r="I50" s="413">
        <v>-92238169288</v>
      </c>
    </row>
    <row r="51" spans="1:9" ht="14.4" outlineLevel="2">
      <c r="A51" s="412" t="s">
        <v>94</v>
      </c>
      <c r="B51" s="412"/>
      <c r="C51" s="412" t="s">
        <v>95</v>
      </c>
      <c r="D51" s="412"/>
      <c r="E51" s="413"/>
      <c r="F51" s="413"/>
      <c r="G51" s="413"/>
      <c r="H51" s="413"/>
      <c r="I51" s="413"/>
    </row>
    <row r="52" spans="1:9" s="6" customFormat="1" ht="14.4" outlineLevel="1">
      <c r="A52" s="410" t="s">
        <v>96</v>
      </c>
      <c r="B52" s="410"/>
      <c r="C52" s="410" t="s">
        <v>97</v>
      </c>
      <c r="D52" s="410"/>
      <c r="E52" s="416"/>
      <c r="F52" s="416"/>
      <c r="G52" s="416"/>
      <c r="H52" s="416"/>
      <c r="I52" s="416"/>
    </row>
    <row r="53" spans="1:9" ht="14.4" outlineLevel="2">
      <c r="A53" s="412" t="s">
        <v>98</v>
      </c>
      <c r="B53" s="412"/>
      <c r="C53" s="412" t="s">
        <v>99</v>
      </c>
      <c r="D53" s="412"/>
      <c r="E53" s="413"/>
      <c r="F53" s="413"/>
      <c r="G53" s="413"/>
      <c r="H53" s="413"/>
      <c r="I53" s="413"/>
    </row>
    <row r="54" spans="1:9" ht="14.4" outlineLevel="2">
      <c r="A54" s="412" t="s">
        <v>100</v>
      </c>
      <c r="B54" s="412"/>
      <c r="C54" s="412" t="s">
        <v>101</v>
      </c>
      <c r="D54" s="412"/>
      <c r="E54" s="413"/>
      <c r="F54" s="413"/>
      <c r="G54" s="413"/>
      <c r="H54" s="413"/>
      <c r="I54" s="413"/>
    </row>
    <row r="55" spans="1:9" s="6" customFormat="1" ht="14.4" outlineLevel="1">
      <c r="A55" s="410" t="s">
        <v>102</v>
      </c>
      <c r="B55" s="410"/>
      <c r="C55" s="410" t="s">
        <v>103</v>
      </c>
      <c r="D55" s="410"/>
      <c r="E55" s="416">
        <v>5086363637</v>
      </c>
      <c r="F55" s="416">
        <v>22565454545</v>
      </c>
      <c r="G55" s="416">
        <v>13367018518</v>
      </c>
      <c r="H55" s="416">
        <v>63162748821</v>
      </c>
      <c r="I55" s="416">
        <v>57177622222</v>
      </c>
    </row>
    <row r="56" spans="1:9" ht="28.8" outlineLevel="2">
      <c r="A56" s="412" t="s">
        <v>104</v>
      </c>
      <c r="B56" s="412"/>
      <c r="C56" s="412" t="s">
        <v>105</v>
      </c>
      <c r="D56" s="412"/>
      <c r="E56" s="413"/>
      <c r="F56" s="413"/>
      <c r="G56" s="413"/>
      <c r="H56" s="413"/>
      <c r="I56" s="413"/>
    </row>
    <row r="57" spans="1:9" ht="14.4" outlineLevel="2">
      <c r="A57" s="412" t="s">
        <v>106</v>
      </c>
      <c r="B57" s="412"/>
      <c r="C57" s="412" t="s">
        <v>107</v>
      </c>
      <c r="D57" s="412"/>
      <c r="E57" s="413">
        <v>5086363637</v>
      </c>
      <c r="F57" s="413">
        <v>22565454545</v>
      </c>
      <c r="G57" s="413">
        <v>13367018518</v>
      </c>
      <c r="H57" s="413">
        <v>63162748821</v>
      </c>
      <c r="I57" s="413">
        <v>57177622222</v>
      </c>
    </row>
    <row r="58" spans="1:9" s="6" customFormat="1" ht="14.4" outlineLevel="1">
      <c r="A58" s="410" t="s">
        <v>108</v>
      </c>
      <c r="B58" s="410"/>
      <c r="C58" s="410" t="s">
        <v>109</v>
      </c>
      <c r="D58" s="410"/>
      <c r="E58" s="416">
        <v>133341086382</v>
      </c>
      <c r="F58" s="416">
        <v>140347514642</v>
      </c>
      <c r="G58" s="416">
        <v>383408540098</v>
      </c>
      <c r="H58" s="416">
        <v>111178423767</v>
      </c>
      <c r="I58" s="416">
        <v>124915632725</v>
      </c>
    </row>
    <row r="59" spans="1:9" ht="14.4" outlineLevel="2">
      <c r="A59" s="412" t="s">
        <v>110</v>
      </c>
      <c r="B59" s="412"/>
      <c r="C59" s="412" t="s">
        <v>111</v>
      </c>
      <c r="D59" s="412"/>
      <c r="E59" s="413"/>
      <c r="F59" s="413"/>
      <c r="G59" s="413"/>
      <c r="H59" s="413"/>
      <c r="I59" s="413"/>
    </row>
    <row r="60" spans="1:9" ht="14.4" outlineLevel="2">
      <c r="A60" s="412" t="s">
        <v>112</v>
      </c>
      <c r="B60" s="412"/>
      <c r="C60" s="412" t="s">
        <v>113</v>
      </c>
      <c r="D60" s="412"/>
      <c r="E60" s="413">
        <v>131583461382</v>
      </c>
      <c r="F60" s="413">
        <v>132247514642</v>
      </c>
      <c r="G60" s="413">
        <v>348572994312</v>
      </c>
      <c r="H60" s="413">
        <v>103807419542</v>
      </c>
      <c r="I60" s="413">
        <v>124915632725</v>
      </c>
    </row>
    <row r="61" spans="1:9" ht="14.4" outlineLevel="2">
      <c r="A61" s="412" t="s">
        <v>114</v>
      </c>
      <c r="B61" s="412"/>
      <c r="C61" s="412" t="s">
        <v>115</v>
      </c>
      <c r="D61" s="412"/>
      <c r="E61" s="413">
        <v>9615625000</v>
      </c>
      <c r="F61" s="413">
        <v>17715625000</v>
      </c>
      <c r="G61" s="413">
        <v>46002910277</v>
      </c>
      <c r="H61" s="413">
        <v>19715625000</v>
      </c>
      <c r="I61" s="413">
        <v>11615625000</v>
      </c>
    </row>
    <row r="62" spans="1:9" ht="14.4" outlineLevel="2">
      <c r="A62" s="412" t="s">
        <v>116</v>
      </c>
      <c r="B62" s="412"/>
      <c r="C62" s="412" t="s">
        <v>117</v>
      </c>
      <c r="D62" s="412"/>
      <c r="E62" s="413">
        <v>-7858000000</v>
      </c>
      <c r="F62" s="413">
        <v>-9615625000</v>
      </c>
      <c r="G62" s="413">
        <v>-11167364491</v>
      </c>
      <c r="H62" s="413">
        <v>-12344620775</v>
      </c>
      <c r="I62" s="413">
        <v>-11615625000</v>
      </c>
    </row>
    <row r="63" spans="1:9" ht="14.4" outlineLevel="2">
      <c r="A63" s="412" t="s">
        <v>22</v>
      </c>
      <c r="B63" s="412"/>
      <c r="C63" s="412" t="s">
        <v>23</v>
      </c>
      <c r="D63" s="412"/>
      <c r="E63" s="413"/>
      <c r="F63" s="413"/>
      <c r="G63" s="413"/>
      <c r="H63" s="413"/>
      <c r="I63" s="413"/>
    </row>
    <row r="64" spans="1:9" s="6" customFormat="1" ht="14.4" outlineLevel="1">
      <c r="A64" s="410" t="s">
        <v>118</v>
      </c>
      <c r="B64" s="410"/>
      <c r="C64" s="410" t="s">
        <v>119</v>
      </c>
      <c r="D64" s="410"/>
      <c r="E64" s="416"/>
      <c r="F64" s="416"/>
      <c r="G64" s="416"/>
      <c r="H64" s="416"/>
      <c r="I64" s="416"/>
    </row>
    <row r="65" spans="1:9" s="6" customFormat="1" ht="14.4" outlineLevel="1">
      <c r="A65" s="410" t="s">
        <v>120</v>
      </c>
      <c r="B65" s="410"/>
      <c r="C65" s="410" t="s">
        <v>121</v>
      </c>
      <c r="D65" s="410"/>
      <c r="E65" s="416">
        <v>25409588956</v>
      </c>
      <c r="F65" s="416">
        <v>74175330369</v>
      </c>
      <c r="G65" s="416">
        <v>40207982807</v>
      </c>
      <c r="H65" s="416">
        <v>347385723032</v>
      </c>
      <c r="I65" s="416">
        <v>296791262494</v>
      </c>
    </row>
    <row r="66" spans="1:9" ht="14.4" outlineLevel="2">
      <c r="A66" s="412" t="s">
        <v>122</v>
      </c>
      <c r="B66" s="412"/>
      <c r="C66" s="412" t="s">
        <v>123</v>
      </c>
      <c r="D66" s="412"/>
      <c r="E66" s="413">
        <v>9225278708</v>
      </c>
      <c r="F66" s="413">
        <v>3220915857</v>
      </c>
      <c r="G66" s="413">
        <v>1484504008</v>
      </c>
      <c r="H66" s="413">
        <v>42009118834</v>
      </c>
      <c r="I66" s="413">
        <v>25606498943</v>
      </c>
    </row>
    <row r="67" spans="1:9" ht="14.4" outlineLevel="2">
      <c r="A67" s="412" t="s">
        <v>124</v>
      </c>
      <c r="B67" s="412"/>
      <c r="C67" s="412" t="s">
        <v>125</v>
      </c>
      <c r="D67" s="412"/>
      <c r="E67" s="413">
        <v>0</v>
      </c>
      <c r="F67" s="413"/>
      <c r="G67" s="413">
        <v>7895844762</v>
      </c>
      <c r="H67" s="413">
        <v>3513354336</v>
      </c>
      <c r="I67" s="413">
        <v>1331876134</v>
      </c>
    </row>
    <row r="68" spans="1:9" ht="28.8" outlineLevel="2">
      <c r="A68" s="412" t="s">
        <v>126</v>
      </c>
      <c r="B68" s="412"/>
      <c r="C68" s="412" t="s">
        <v>127</v>
      </c>
      <c r="D68" s="412"/>
      <c r="E68" s="413"/>
      <c r="F68" s="413"/>
      <c r="G68" s="413"/>
      <c r="H68" s="413"/>
      <c r="I68" s="413"/>
    </row>
    <row r="69" spans="1:9" ht="14.4" outlineLevel="2">
      <c r="A69" s="412" t="s">
        <v>128</v>
      </c>
      <c r="B69" s="412"/>
      <c r="C69" s="412" t="s">
        <v>129</v>
      </c>
      <c r="D69" s="412"/>
      <c r="E69" s="413"/>
      <c r="F69" s="413"/>
      <c r="G69" s="413"/>
      <c r="H69" s="413"/>
      <c r="I69" s="413"/>
    </row>
    <row r="70" spans="1:9" ht="14.4" outlineLevel="2">
      <c r="A70" s="412" t="s">
        <v>130</v>
      </c>
      <c r="B70" s="412"/>
      <c r="C70" s="412" t="s">
        <v>131</v>
      </c>
      <c r="D70" s="412"/>
      <c r="E70" s="413">
        <v>16184310248</v>
      </c>
      <c r="F70" s="413">
        <v>70954414512</v>
      </c>
      <c r="G70" s="413">
        <v>30827634037</v>
      </c>
      <c r="H70" s="413">
        <v>301863249862</v>
      </c>
      <c r="I70" s="413">
        <v>269852887417</v>
      </c>
    </row>
    <row r="71" spans="1:9" ht="14.4">
      <c r="A71" s="415" t="s">
        <v>132</v>
      </c>
      <c r="B71" s="415"/>
      <c r="C71" s="415" t="s">
        <v>133</v>
      </c>
      <c r="D71" s="415"/>
      <c r="E71" s="409">
        <v>1372282835950</v>
      </c>
      <c r="F71" s="409">
        <v>1240977883060</v>
      </c>
      <c r="G71" s="409">
        <v>1860398042369</v>
      </c>
      <c r="H71" s="409">
        <v>2512869600595</v>
      </c>
      <c r="I71" s="409">
        <v>2796381272646</v>
      </c>
    </row>
    <row r="72" spans="1:9" ht="14.4">
      <c r="A72" s="417" t="s">
        <v>134</v>
      </c>
      <c r="B72" s="417"/>
      <c r="C72" s="417" t="s">
        <v>135</v>
      </c>
      <c r="D72" s="417"/>
      <c r="E72" s="418">
        <v>494579526697</v>
      </c>
      <c r="F72" s="418">
        <v>334197703328</v>
      </c>
      <c r="G72" s="418">
        <v>477098903310</v>
      </c>
      <c r="H72" s="418">
        <v>1012991101726</v>
      </c>
      <c r="I72" s="418">
        <v>675630266168</v>
      </c>
    </row>
    <row r="73" spans="1:9" ht="14.4" outlineLevel="1">
      <c r="A73" s="417" t="s">
        <v>136</v>
      </c>
      <c r="B73" s="417"/>
      <c r="C73" s="417" t="s">
        <v>137</v>
      </c>
      <c r="D73" s="417"/>
      <c r="E73" s="418">
        <v>403533140176</v>
      </c>
      <c r="F73" s="418">
        <v>315495843209</v>
      </c>
      <c r="G73" s="418">
        <v>408623646511</v>
      </c>
      <c r="H73" s="418">
        <v>962985040933</v>
      </c>
      <c r="I73" s="418">
        <v>630726249783</v>
      </c>
    </row>
    <row r="74" spans="1:9" ht="14.4" outlineLevel="2">
      <c r="A74" s="412" t="s">
        <v>138</v>
      </c>
      <c r="B74" s="412"/>
      <c r="C74" s="412" t="s">
        <v>139</v>
      </c>
      <c r="D74" s="412"/>
      <c r="E74" s="413">
        <v>87325315040</v>
      </c>
      <c r="F74" s="413">
        <v>83181799835</v>
      </c>
      <c r="G74" s="413">
        <v>98153102705</v>
      </c>
      <c r="H74" s="413">
        <v>137590758890</v>
      </c>
      <c r="I74" s="413">
        <v>149093578776</v>
      </c>
    </row>
    <row r="75" spans="1:9" ht="14.4" outlineLevel="2">
      <c r="A75" s="412" t="s">
        <v>140</v>
      </c>
      <c r="B75" s="412"/>
      <c r="C75" s="412" t="s">
        <v>141</v>
      </c>
      <c r="D75" s="412"/>
      <c r="E75" s="413">
        <v>10531972357</v>
      </c>
      <c r="F75" s="413">
        <v>6405918023</v>
      </c>
      <c r="G75" s="413">
        <v>29155365881</v>
      </c>
      <c r="H75" s="413">
        <v>13959803176</v>
      </c>
      <c r="I75" s="413">
        <v>945762696</v>
      </c>
    </row>
    <row r="76" spans="1:9" ht="14.4" outlineLevel="2">
      <c r="A76" s="412" t="s">
        <v>142</v>
      </c>
      <c r="B76" s="412"/>
      <c r="C76" s="412" t="s">
        <v>143</v>
      </c>
      <c r="D76" s="412"/>
      <c r="E76" s="413">
        <v>44788657390</v>
      </c>
      <c r="F76" s="413">
        <v>42048654493</v>
      </c>
      <c r="G76" s="413">
        <v>32330181730</v>
      </c>
      <c r="H76" s="413">
        <v>40757934104</v>
      </c>
      <c r="I76" s="413">
        <v>28279825499</v>
      </c>
    </row>
    <row r="77" spans="1:9" ht="14.4" outlineLevel="2">
      <c r="A77" s="412" t="s">
        <v>144</v>
      </c>
      <c r="B77" s="412"/>
      <c r="C77" s="412" t="s">
        <v>145</v>
      </c>
      <c r="D77" s="412"/>
      <c r="E77" s="413">
        <v>14530928335</v>
      </c>
      <c r="F77" s="413">
        <v>4685853174</v>
      </c>
      <c r="G77" s="413">
        <v>5107804827</v>
      </c>
      <c r="H77" s="413">
        <v>14383857602</v>
      </c>
      <c r="I77" s="413">
        <v>13995873114</v>
      </c>
    </row>
    <row r="78" spans="1:9" ht="14.4" outlineLevel="2">
      <c r="A78" s="412" t="s">
        <v>146</v>
      </c>
      <c r="B78" s="412"/>
      <c r="C78" s="412" t="s">
        <v>147</v>
      </c>
      <c r="D78" s="412"/>
      <c r="E78" s="413">
        <v>56813526262</v>
      </c>
      <c r="F78" s="413">
        <v>18755981834</v>
      </c>
      <c r="G78" s="413">
        <v>27448675197</v>
      </c>
      <c r="H78" s="413">
        <v>78176209568</v>
      </c>
      <c r="I78" s="413">
        <v>81109306439</v>
      </c>
    </row>
    <row r="79" spans="1:9" ht="14.4" outlineLevel="2">
      <c r="A79" s="412" t="s">
        <v>148</v>
      </c>
      <c r="B79" s="412"/>
      <c r="C79" s="412" t="s">
        <v>149</v>
      </c>
      <c r="D79" s="412"/>
      <c r="E79" s="413"/>
      <c r="F79" s="413"/>
      <c r="G79" s="413"/>
      <c r="H79" s="413"/>
      <c r="I79" s="413"/>
    </row>
    <row r="80" spans="1:9" ht="14.4" outlineLevel="2">
      <c r="A80" s="412" t="s">
        <v>150</v>
      </c>
      <c r="B80" s="412"/>
      <c r="C80" s="412" t="s">
        <v>151</v>
      </c>
      <c r="D80" s="412"/>
      <c r="E80" s="413"/>
      <c r="F80" s="413"/>
      <c r="G80" s="413"/>
      <c r="H80" s="413"/>
      <c r="I80" s="413"/>
    </row>
    <row r="81" spans="1:9" ht="14.4" outlineLevel="2">
      <c r="A81" s="412" t="s">
        <v>152</v>
      </c>
      <c r="B81" s="412"/>
      <c r="C81" s="412" t="s">
        <v>153</v>
      </c>
      <c r="D81" s="412"/>
      <c r="E81" s="413"/>
      <c r="F81" s="413"/>
      <c r="G81" s="413"/>
      <c r="H81" s="413"/>
      <c r="I81" s="413"/>
    </row>
    <row r="82" spans="1:9" ht="14.4" outlineLevel="2">
      <c r="A82" s="412" t="s">
        <v>154</v>
      </c>
      <c r="B82" s="412"/>
      <c r="C82" s="412" t="s">
        <v>155</v>
      </c>
      <c r="D82" s="412"/>
      <c r="E82" s="413">
        <v>58740650313</v>
      </c>
      <c r="F82" s="413">
        <v>66099828450</v>
      </c>
      <c r="G82" s="413">
        <v>45075825259</v>
      </c>
      <c r="H82" s="413">
        <v>147901263340</v>
      </c>
      <c r="I82" s="413">
        <v>50179527970</v>
      </c>
    </row>
    <row r="83" spans="1:9" ht="14.4" outlineLevel="2">
      <c r="A83" s="412" t="s">
        <v>156</v>
      </c>
      <c r="B83" s="412"/>
      <c r="C83" s="412" t="s">
        <v>157</v>
      </c>
      <c r="D83" s="412"/>
      <c r="E83" s="413">
        <v>130796216812</v>
      </c>
      <c r="F83" s="413">
        <v>94317807400</v>
      </c>
      <c r="G83" s="413">
        <v>171352690912</v>
      </c>
      <c r="H83" s="413">
        <v>527364096445</v>
      </c>
      <c r="I83" s="413">
        <v>304271257481</v>
      </c>
    </row>
    <row r="84" spans="1:9" ht="14.4" outlineLevel="2">
      <c r="A84" s="412" t="s">
        <v>158</v>
      </c>
      <c r="B84" s="412"/>
      <c r="C84" s="412" t="s">
        <v>159</v>
      </c>
      <c r="D84" s="412"/>
      <c r="E84" s="413"/>
      <c r="F84" s="413"/>
      <c r="G84" s="413"/>
      <c r="H84" s="413"/>
      <c r="I84" s="413"/>
    </row>
    <row r="85" spans="1:9" ht="14.4" outlineLevel="2">
      <c r="A85" s="412" t="s">
        <v>160</v>
      </c>
      <c r="B85" s="412"/>
      <c r="C85" s="412" t="s">
        <v>161</v>
      </c>
      <c r="D85" s="412"/>
      <c r="E85" s="413">
        <v>5873667</v>
      </c>
      <c r="F85" s="413">
        <v>0</v>
      </c>
      <c r="G85" s="413"/>
      <c r="H85" s="413">
        <v>2851117808</v>
      </c>
      <c r="I85" s="413">
        <v>2851117808</v>
      </c>
    </row>
    <row r="86" spans="1:9" ht="14.4" outlineLevel="2">
      <c r="A86" s="412" t="s">
        <v>162</v>
      </c>
      <c r="B86" s="412"/>
      <c r="C86" s="412" t="s">
        <v>163</v>
      </c>
      <c r="D86" s="412"/>
      <c r="E86" s="413"/>
      <c r="F86" s="413"/>
      <c r="G86" s="413"/>
      <c r="H86" s="413"/>
      <c r="I86" s="413"/>
    </row>
    <row r="87" spans="1:9" ht="14.4" outlineLevel="2">
      <c r="A87" s="412" t="s">
        <v>56</v>
      </c>
      <c r="B87" s="412"/>
      <c r="C87" s="412" t="s">
        <v>57</v>
      </c>
      <c r="D87" s="412"/>
      <c r="E87" s="413"/>
      <c r="F87" s="413"/>
      <c r="G87" s="413"/>
      <c r="H87" s="413"/>
      <c r="I87" s="413"/>
    </row>
    <row r="88" spans="1:9" ht="14.4" outlineLevel="1">
      <c r="A88" s="417" t="s">
        <v>164</v>
      </c>
      <c r="B88" s="417"/>
      <c r="C88" s="417" t="s">
        <v>165</v>
      </c>
      <c r="D88" s="417"/>
      <c r="E88" s="419">
        <v>91046386521</v>
      </c>
      <c r="F88" s="419">
        <v>18701860119</v>
      </c>
      <c r="G88" s="419">
        <v>68475256799</v>
      </c>
      <c r="H88" s="419">
        <v>50006060793</v>
      </c>
      <c r="I88" s="419">
        <v>44904016385</v>
      </c>
    </row>
    <row r="89" spans="1:9" ht="14.4" outlineLevel="2">
      <c r="A89" s="412" t="s">
        <v>166</v>
      </c>
      <c r="B89" s="412"/>
      <c r="C89" s="412" t="s">
        <v>167</v>
      </c>
      <c r="D89" s="412"/>
      <c r="E89" s="413"/>
      <c r="F89" s="413"/>
      <c r="G89" s="413"/>
      <c r="H89" s="413"/>
      <c r="I89" s="413"/>
    </row>
    <row r="90" spans="1:9" ht="14.4" outlineLevel="2">
      <c r="A90" s="412" t="s">
        <v>168</v>
      </c>
      <c r="B90" s="412"/>
      <c r="C90" s="412" t="s">
        <v>169</v>
      </c>
      <c r="D90" s="412"/>
      <c r="E90" s="413"/>
      <c r="F90" s="413"/>
      <c r="G90" s="413"/>
      <c r="H90" s="413"/>
      <c r="I90" s="413"/>
    </row>
    <row r="91" spans="1:9" ht="14.4" outlineLevel="2">
      <c r="A91" s="412" t="s">
        <v>170</v>
      </c>
      <c r="B91" s="412"/>
      <c r="C91" s="412" t="s">
        <v>171</v>
      </c>
      <c r="D91" s="412"/>
      <c r="E91" s="413"/>
      <c r="F91" s="413"/>
      <c r="G91" s="413"/>
      <c r="H91" s="413"/>
      <c r="I91" s="413"/>
    </row>
    <row r="92" spans="1:9" ht="28.8" outlineLevel="2">
      <c r="A92" s="412" t="s">
        <v>172</v>
      </c>
      <c r="B92" s="412"/>
      <c r="C92" s="412" t="s">
        <v>173</v>
      </c>
      <c r="D92" s="412"/>
      <c r="E92" s="413"/>
      <c r="F92" s="413"/>
      <c r="G92" s="413"/>
      <c r="H92" s="413"/>
      <c r="I92" s="413"/>
    </row>
    <row r="93" spans="1:9" ht="14.4" outlineLevel="2">
      <c r="A93" s="412" t="s">
        <v>174</v>
      </c>
      <c r="B93" s="412"/>
      <c r="C93" s="412" t="s">
        <v>175</v>
      </c>
      <c r="D93" s="412"/>
      <c r="E93" s="413"/>
      <c r="F93" s="413"/>
      <c r="G93" s="413"/>
      <c r="H93" s="413"/>
      <c r="I93" s="413"/>
    </row>
    <row r="94" spans="1:9" ht="14.4" outlineLevel="2">
      <c r="A94" s="412" t="s">
        <v>176</v>
      </c>
      <c r="B94" s="412"/>
      <c r="C94" s="412" t="s">
        <v>177</v>
      </c>
      <c r="D94" s="412"/>
      <c r="E94" s="413"/>
      <c r="F94" s="413"/>
      <c r="G94" s="413"/>
      <c r="H94" s="413"/>
      <c r="I94" s="413"/>
    </row>
    <row r="95" spans="1:9" ht="14.4" outlineLevel="2">
      <c r="A95" s="412" t="s">
        <v>178</v>
      </c>
      <c r="B95" s="412"/>
      <c r="C95" s="412" t="s">
        <v>179</v>
      </c>
      <c r="D95" s="412"/>
      <c r="E95" s="413">
        <v>0</v>
      </c>
      <c r="F95" s="413">
        <v>87600000</v>
      </c>
      <c r="G95" s="413">
        <v>0</v>
      </c>
      <c r="H95" s="413"/>
      <c r="I95" s="413"/>
    </row>
    <row r="96" spans="1:9" ht="14.4" outlineLevel="2">
      <c r="A96" s="412" t="s">
        <v>180</v>
      </c>
      <c r="B96" s="412"/>
      <c r="C96" s="412" t="s">
        <v>181</v>
      </c>
      <c r="D96" s="412"/>
      <c r="E96" s="413">
        <v>71000000000</v>
      </c>
      <c r="F96" s="413">
        <v>1000000000</v>
      </c>
      <c r="G96" s="413">
        <v>39014432856</v>
      </c>
      <c r="H96" s="413">
        <v>50006060793</v>
      </c>
      <c r="I96" s="413">
        <v>36866802037</v>
      </c>
    </row>
    <row r="97" spans="1:9" ht="14.4" outlineLevel="2">
      <c r="A97" s="412" t="s">
        <v>182</v>
      </c>
      <c r="B97" s="412"/>
      <c r="C97" s="412" t="s">
        <v>183</v>
      </c>
      <c r="D97" s="412"/>
      <c r="E97" s="413"/>
      <c r="F97" s="413"/>
      <c r="G97" s="413"/>
      <c r="H97" s="413"/>
      <c r="I97" s="413"/>
    </row>
    <row r="98" spans="1:9" ht="14.4" outlineLevel="2">
      <c r="A98" s="412" t="s">
        <v>184</v>
      </c>
      <c r="B98" s="412"/>
      <c r="C98" s="412" t="s">
        <v>185</v>
      </c>
      <c r="D98" s="412"/>
      <c r="E98" s="413"/>
      <c r="F98" s="413"/>
      <c r="G98" s="413"/>
      <c r="H98" s="413"/>
      <c r="I98" s="413"/>
    </row>
    <row r="99" spans="1:9" ht="14.4" outlineLevel="2">
      <c r="A99" s="412" t="s">
        <v>186</v>
      </c>
      <c r="B99" s="412"/>
      <c r="C99" s="412" t="s">
        <v>187</v>
      </c>
      <c r="D99" s="412"/>
      <c r="E99" s="413">
        <v>20046386521</v>
      </c>
      <c r="F99" s="413">
        <v>17614260119</v>
      </c>
      <c r="G99" s="413">
        <v>29460823943</v>
      </c>
      <c r="H99" s="413">
        <v>0</v>
      </c>
      <c r="I99" s="413">
        <v>8037214348</v>
      </c>
    </row>
    <row r="100" spans="1:9" ht="14.4" outlineLevel="2">
      <c r="A100" s="412" t="s">
        <v>188</v>
      </c>
      <c r="B100" s="412"/>
      <c r="C100" s="412" t="s">
        <v>189</v>
      </c>
      <c r="D100" s="412"/>
      <c r="E100" s="413"/>
      <c r="F100" s="413"/>
      <c r="G100" s="413"/>
      <c r="H100" s="413"/>
      <c r="I100" s="413"/>
    </row>
    <row r="101" spans="1:9" ht="14.4" outlineLevel="2">
      <c r="A101" s="412" t="s">
        <v>190</v>
      </c>
      <c r="B101" s="412"/>
      <c r="C101" s="412" t="s">
        <v>191</v>
      </c>
      <c r="D101" s="412"/>
      <c r="E101" s="413"/>
      <c r="F101" s="413"/>
      <c r="G101" s="413"/>
      <c r="H101" s="413"/>
      <c r="I101" s="413"/>
    </row>
    <row r="102" spans="1:9" ht="14.4" outlineLevel="2">
      <c r="A102" s="412" t="s">
        <v>192</v>
      </c>
      <c r="B102" s="412"/>
      <c r="C102" s="412" t="s">
        <v>193</v>
      </c>
      <c r="D102" s="412"/>
      <c r="E102" s="413"/>
      <c r="F102" s="413"/>
      <c r="G102" s="413"/>
      <c r="H102" s="413"/>
      <c r="I102" s="413"/>
    </row>
    <row r="103" spans="1:9" ht="14.4">
      <c r="A103" s="420" t="s">
        <v>194</v>
      </c>
      <c r="B103" s="420"/>
      <c r="C103" s="420" t="s">
        <v>195</v>
      </c>
      <c r="D103" s="420"/>
      <c r="E103" s="421">
        <v>877703309253</v>
      </c>
      <c r="F103" s="421">
        <v>906780179732</v>
      </c>
      <c r="G103" s="421">
        <v>1383299139059</v>
      </c>
      <c r="H103" s="421">
        <v>1499878498869</v>
      </c>
      <c r="I103" s="421">
        <v>2120751006478</v>
      </c>
    </row>
    <row r="104" spans="1:9" ht="14.4" outlineLevel="1">
      <c r="A104" s="412" t="s">
        <v>196</v>
      </c>
      <c r="B104" s="412"/>
      <c r="C104" s="412" t="s">
        <v>197</v>
      </c>
      <c r="D104" s="412"/>
      <c r="E104" s="413">
        <v>877703309253</v>
      </c>
      <c r="F104" s="413">
        <v>906780179732</v>
      </c>
      <c r="G104" s="413">
        <v>1383299139059</v>
      </c>
      <c r="H104" s="413">
        <v>1499878498869</v>
      </c>
      <c r="I104" s="413">
        <v>2120751006478</v>
      </c>
    </row>
    <row r="105" spans="1:9" ht="14.4" outlineLevel="2">
      <c r="A105" s="412" t="s">
        <v>198</v>
      </c>
      <c r="B105" s="412"/>
      <c r="C105" s="412" t="s">
        <v>199</v>
      </c>
      <c r="D105" s="412"/>
      <c r="E105" s="413">
        <v>312799680000</v>
      </c>
      <c r="F105" s="413">
        <v>312799680000</v>
      </c>
      <c r="G105" s="413">
        <v>1313532640000</v>
      </c>
      <c r="H105" s="413">
        <v>1370014540000</v>
      </c>
      <c r="I105" s="413">
        <v>1918020350000</v>
      </c>
    </row>
    <row r="106" spans="1:9" ht="14.4" outlineLevel="3">
      <c r="A106" s="412" t="s">
        <v>200</v>
      </c>
      <c r="B106" s="412"/>
      <c r="C106" s="412" t="s">
        <v>201</v>
      </c>
      <c r="D106" s="412"/>
      <c r="E106" s="413"/>
      <c r="F106" s="413"/>
      <c r="G106" s="413"/>
      <c r="H106" s="413"/>
      <c r="I106" s="413"/>
    </row>
    <row r="107" spans="1:9" ht="14.4" outlineLevel="3">
      <c r="A107" s="412" t="s">
        <v>202</v>
      </c>
      <c r="B107" s="412"/>
      <c r="C107" s="412" t="s">
        <v>203</v>
      </c>
      <c r="D107" s="412"/>
      <c r="E107" s="413"/>
      <c r="F107" s="413"/>
      <c r="G107" s="413"/>
      <c r="H107" s="413"/>
      <c r="I107" s="413"/>
    </row>
    <row r="108" spans="1:9" ht="14.4" outlineLevel="2">
      <c r="A108" s="412" t="s">
        <v>204</v>
      </c>
      <c r="B108" s="412"/>
      <c r="C108" s="412" t="s">
        <v>205</v>
      </c>
      <c r="D108" s="412"/>
      <c r="E108" s="413">
        <v>550873478254</v>
      </c>
      <c r="F108" s="413">
        <v>550873478254</v>
      </c>
      <c r="G108" s="413">
        <v>140518254</v>
      </c>
      <c r="H108" s="413">
        <v>140518254</v>
      </c>
      <c r="I108" s="413">
        <v>75418254</v>
      </c>
    </row>
    <row r="109" spans="1:9" ht="14.4" outlineLevel="2">
      <c r="A109" s="412" t="s">
        <v>206</v>
      </c>
      <c r="B109" s="412"/>
      <c r="C109" s="412" t="s">
        <v>207</v>
      </c>
      <c r="D109" s="412"/>
      <c r="E109" s="413"/>
      <c r="F109" s="413"/>
      <c r="G109" s="413"/>
      <c r="H109" s="413"/>
      <c r="I109" s="413"/>
    </row>
    <row r="110" spans="1:9" ht="14.4" outlineLevel="2">
      <c r="A110" s="412" t="s">
        <v>208</v>
      </c>
      <c r="B110" s="412"/>
      <c r="C110" s="412" t="s">
        <v>209</v>
      </c>
      <c r="D110" s="412"/>
      <c r="E110" s="413"/>
      <c r="F110" s="413"/>
      <c r="G110" s="413"/>
      <c r="H110" s="413"/>
      <c r="I110" s="413"/>
    </row>
    <row r="111" spans="1:9" ht="14.4" outlineLevel="2">
      <c r="A111" s="412" t="s">
        <v>210</v>
      </c>
      <c r="B111" s="412"/>
      <c r="C111" s="412" t="s">
        <v>211</v>
      </c>
      <c r="D111" s="412"/>
      <c r="E111" s="413"/>
      <c r="F111" s="413"/>
      <c r="G111" s="413"/>
      <c r="H111" s="413"/>
      <c r="I111" s="413"/>
    </row>
    <row r="112" spans="1:9" ht="14.4" outlineLevel="2">
      <c r="A112" s="412" t="s">
        <v>212</v>
      </c>
      <c r="B112" s="412"/>
      <c r="C112" s="412" t="s">
        <v>213</v>
      </c>
      <c r="D112" s="412"/>
      <c r="E112" s="413"/>
      <c r="F112" s="413"/>
      <c r="G112" s="413"/>
      <c r="H112" s="413"/>
      <c r="I112" s="413"/>
    </row>
    <row r="113" spans="1:9" ht="14.4" outlineLevel="2">
      <c r="A113" s="412" t="s">
        <v>214</v>
      </c>
      <c r="B113" s="412"/>
      <c r="C113" s="412" t="s">
        <v>215</v>
      </c>
      <c r="D113" s="412"/>
      <c r="E113" s="413">
        <v>-255483151</v>
      </c>
      <c r="F113" s="413"/>
      <c r="G113" s="413"/>
      <c r="H113" s="413"/>
      <c r="I113" s="413">
        <v>35116241</v>
      </c>
    </row>
    <row r="114" spans="1:9" ht="14.4" outlineLevel="2">
      <c r="A114" s="412" t="s">
        <v>216</v>
      </c>
      <c r="B114" s="412"/>
      <c r="C114" s="412" t="s">
        <v>217</v>
      </c>
      <c r="D114" s="412"/>
      <c r="E114" s="413"/>
      <c r="F114" s="413"/>
      <c r="G114" s="413"/>
      <c r="H114" s="413"/>
      <c r="I114" s="413"/>
    </row>
    <row r="115" spans="1:9" ht="14.4" outlineLevel="2">
      <c r="A115" s="412" t="s">
        <v>218</v>
      </c>
      <c r="B115" s="412"/>
      <c r="C115" s="412" t="s">
        <v>219</v>
      </c>
      <c r="D115" s="412"/>
      <c r="E115" s="413"/>
      <c r="F115" s="413"/>
      <c r="G115" s="413"/>
      <c r="H115" s="413"/>
      <c r="I115" s="413"/>
    </row>
    <row r="116" spans="1:9" ht="14.4" outlineLevel="2">
      <c r="A116" s="412" t="s">
        <v>220</v>
      </c>
      <c r="B116" s="412"/>
      <c r="C116" s="412" t="s">
        <v>221</v>
      </c>
      <c r="D116" s="412"/>
      <c r="E116" s="413"/>
      <c r="F116" s="413"/>
      <c r="G116" s="413"/>
      <c r="H116" s="413"/>
      <c r="I116" s="413"/>
    </row>
    <row r="117" spans="1:9" ht="14.4" outlineLevel="2">
      <c r="A117" s="412" t="s">
        <v>222</v>
      </c>
      <c r="B117" s="412"/>
      <c r="C117" s="412" t="s">
        <v>223</v>
      </c>
      <c r="D117" s="412"/>
      <c r="E117" s="413"/>
      <c r="F117" s="413"/>
      <c r="G117" s="413"/>
      <c r="H117" s="413"/>
      <c r="I117" s="413"/>
    </row>
    <row r="118" spans="1:9" ht="14.4" outlineLevel="2">
      <c r="A118" s="412" t="s">
        <v>224</v>
      </c>
      <c r="B118" s="412"/>
      <c r="C118" s="412" t="s">
        <v>225</v>
      </c>
      <c r="D118" s="412"/>
      <c r="E118" s="413">
        <v>20536615720</v>
      </c>
      <c r="F118" s="413">
        <v>12261220660</v>
      </c>
      <c r="G118" s="413">
        <v>708163</v>
      </c>
      <c r="H118" s="413">
        <v>125708063567</v>
      </c>
      <c r="I118" s="413">
        <v>76561931411</v>
      </c>
    </row>
    <row r="119" spans="1:9" ht="28.8" outlineLevel="3">
      <c r="A119" s="412" t="s">
        <v>226</v>
      </c>
      <c r="B119" s="412"/>
      <c r="C119" s="412" t="s">
        <v>227</v>
      </c>
      <c r="D119" s="412"/>
      <c r="E119" s="413"/>
      <c r="F119" s="413"/>
      <c r="G119" s="413"/>
      <c r="H119" s="413"/>
      <c r="I119" s="413"/>
    </row>
    <row r="120" spans="1:9" ht="14.4" outlineLevel="3">
      <c r="A120" s="412" t="s">
        <v>228</v>
      </c>
      <c r="B120" s="412"/>
      <c r="C120" s="412" t="s">
        <v>229</v>
      </c>
      <c r="D120" s="412"/>
      <c r="E120" s="413"/>
      <c r="F120" s="413"/>
      <c r="G120" s="413"/>
      <c r="H120" s="413"/>
      <c r="I120" s="413"/>
    </row>
    <row r="121" spans="1:9" ht="14.4" outlineLevel="2">
      <c r="A121" s="412" t="s">
        <v>230</v>
      </c>
      <c r="B121" s="412"/>
      <c r="C121" s="412" t="s">
        <v>231</v>
      </c>
      <c r="D121" s="412"/>
      <c r="E121" s="413">
        <v>-6506464721</v>
      </c>
      <c r="F121" s="413">
        <v>12551387798</v>
      </c>
      <c r="G121" s="413">
        <v>412211638962</v>
      </c>
      <c r="H121" s="413">
        <v>57068805839</v>
      </c>
      <c r="I121" s="413">
        <v>53940074673</v>
      </c>
    </row>
    <row r="122" spans="1:9" ht="14.4" outlineLevel="1">
      <c r="A122" s="412" t="s">
        <v>232</v>
      </c>
      <c r="B122" s="412"/>
      <c r="C122" s="412" t="s">
        <v>233</v>
      </c>
      <c r="D122" s="412"/>
      <c r="E122" s="413"/>
      <c r="F122" s="413"/>
      <c r="G122" s="413"/>
      <c r="H122" s="413"/>
      <c r="I122" s="413"/>
    </row>
    <row r="123" spans="1:9" ht="14.4" outlineLevel="2">
      <c r="A123" s="412" t="s">
        <v>234</v>
      </c>
      <c r="B123" s="412"/>
      <c r="C123" s="412" t="s">
        <v>235</v>
      </c>
      <c r="D123" s="412"/>
      <c r="E123" s="413"/>
      <c r="F123" s="413"/>
      <c r="G123" s="413"/>
      <c r="H123" s="413"/>
      <c r="I123" s="413"/>
    </row>
    <row r="124" spans="1:9" ht="14.4" outlineLevel="2">
      <c r="A124" s="412" t="s">
        <v>236</v>
      </c>
      <c r="B124" s="412"/>
      <c r="C124" s="412" t="s">
        <v>237</v>
      </c>
      <c r="D124" s="412"/>
      <c r="E124" s="413"/>
      <c r="F124" s="413"/>
      <c r="G124" s="413"/>
      <c r="H124" s="413"/>
      <c r="I124" s="413"/>
    </row>
    <row r="125" spans="1:9" ht="14.4" outlineLevel="2">
      <c r="A125" s="412" t="s">
        <v>238</v>
      </c>
      <c r="B125" s="412"/>
      <c r="C125" s="412" t="s">
        <v>239</v>
      </c>
      <c r="D125" s="412"/>
      <c r="E125" s="413"/>
      <c r="F125" s="413"/>
      <c r="G125" s="413"/>
      <c r="H125" s="413"/>
      <c r="I125" s="413"/>
    </row>
    <row r="126" spans="1:9" ht="14.4">
      <c r="A126" s="422" t="s">
        <v>240</v>
      </c>
      <c r="B126" s="422"/>
      <c r="C126" s="422" t="s">
        <v>241</v>
      </c>
      <c r="D126" s="422"/>
      <c r="E126" s="423"/>
      <c r="F126" s="423"/>
      <c r="G126" s="423"/>
      <c r="H126" s="423"/>
      <c r="I126" s="423"/>
    </row>
    <row r="127" spans="1:9" ht="14.4">
      <c r="A127" s="424" t="s">
        <v>242</v>
      </c>
      <c r="B127" s="424"/>
      <c r="C127" s="424" t="s">
        <v>243</v>
      </c>
      <c r="D127" s="424"/>
      <c r="E127" s="418">
        <v>1372282835950</v>
      </c>
      <c r="F127" s="418">
        <v>1240977883060</v>
      </c>
      <c r="G127" s="418">
        <v>1860398042369</v>
      </c>
      <c r="H127" s="418">
        <v>2512869600595</v>
      </c>
      <c r="I127" s="418">
        <v>2796381272646</v>
      </c>
    </row>
    <row r="128" spans="1:9" ht="14.4">
      <c r="A128" s="165"/>
      <c r="B128" s="165"/>
      <c r="C128" s="165"/>
      <c r="D128" s="165"/>
      <c r="E128" s="165"/>
      <c r="F128" s="165"/>
      <c r="G128" s="165"/>
      <c r="H128" s="165"/>
      <c r="I128" s="165"/>
    </row>
    <row r="129" spans="1:9" ht="14.4">
      <c r="A129" s="415" t="s">
        <v>244</v>
      </c>
      <c r="B129" s="415"/>
      <c r="C129" s="415"/>
      <c r="D129" s="402"/>
      <c r="E129" s="403"/>
      <c r="F129" s="403"/>
      <c r="G129" s="403"/>
      <c r="H129" s="403"/>
      <c r="I129" s="403"/>
    </row>
    <row r="130" spans="1:9" ht="14.4">
      <c r="A130" s="425" t="s">
        <v>245</v>
      </c>
      <c r="B130" s="425"/>
      <c r="C130" s="425" t="s">
        <v>246</v>
      </c>
      <c r="D130" s="426"/>
      <c r="E130" s="427">
        <f t="shared" ref="E130:G130" si="0">(E71-E127)</f>
        <v>0</v>
      </c>
      <c r="F130" s="427">
        <f t="shared" si="0"/>
        <v>0</v>
      </c>
      <c r="G130" s="427">
        <f t="shared" si="0"/>
        <v>0</v>
      </c>
      <c r="H130" s="428">
        <f>(H71-H127)</f>
        <v>0</v>
      </c>
      <c r="I130" s="429">
        <f>(I71-I127)</f>
        <v>0</v>
      </c>
    </row>
    <row r="131" spans="1:9" ht="14.4">
      <c r="A131" s="430" t="s">
        <v>247</v>
      </c>
      <c r="B131" s="430"/>
      <c r="C131" s="430" t="s">
        <v>248</v>
      </c>
      <c r="D131" s="431"/>
      <c r="E131" s="429">
        <f t="shared" ref="E131:G131" si="1">E6-E7-E10-E14-E23-E26</f>
        <v>0</v>
      </c>
      <c r="F131" s="429">
        <f t="shared" si="1"/>
        <v>0</v>
      </c>
      <c r="G131" s="429">
        <f t="shared" si="1"/>
        <v>0</v>
      </c>
      <c r="H131" s="432">
        <f>H6-H7-H10-H14-H23-H26</f>
        <v>0</v>
      </c>
      <c r="I131" s="429">
        <f>I6-I7-I10-I14-I23-I26</f>
        <v>0</v>
      </c>
    </row>
    <row r="132" spans="1:9" ht="14.4">
      <c r="A132" s="430" t="s">
        <v>249</v>
      </c>
      <c r="B132" s="430"/>
      <c r="C132" s="430" t="s">
        <v>250</v>
      </c>
      <c r="D132" s="431"/>
      <c r="E132" s="429">
        <f t="shared" ref="E132:G132" si="2">E32-E33-E41-E52-E55-E58-E64-E65</f>
        <v>0</v>
      </c>
      <c r="F132" s="429">
        <f t="shared" si="2"/>
        <v>0</v>
      </c>
      <c r="G132" s="429">
        <f t="shared" si="2"/>
        <v>0</v>
      </c>
      <c r="H132" s="432">
        <f>H32-H33-H41-H52-H55-H58-H64-H65</f>
        <v>0</v>
      </c>
      <c r="I132" s="429">
        <f>I32-I33-I41-I52-I55-I58-I64-I65</f>
        <v>0</v>
      </c>
    </row>
    <row r="133" spans="1:9" ht="14.4">
      <c r="A133" s="430" t="s">
        <v>245</v>
      </c>
      <c r="B133" s="430"/>
      <c r="C133" s="430" t="s">
        <v>251</v>
      </c>
      <c r="D133" s="431"/>
      <c r="E133" s="429">
        <f t="shared" ref="E133:G133" si="3">E71-E32-E6</f>
        <v>0</v>
      </c>
      <c r="F133" s="429">
        <f t="shared" si="3"/>
        <v>0</v>
      </c>
      <c r="G133" s="429">
        <f t="shared" si="3"/>
        <v>0</v>
      </c>
      <c r="H133" s="432">
        <f>H71-H32-H6</f>
        <v>0</v>
      </c>
      <c r="I133" s="429">
        <f>I71-I32-I6</f>
        <v>0</v>
      </c>
    </row>
    <row r="134" spans="1:9" ht="14.4">
      <c r="A134" s="430" t="s">
        <v>252</v>
      </c>
      <c r="B134" s="430"/>
      <c r="C134" s="430" t="s">
        <v>137</v>
      </c>
      <c r="D134" s="431"/>
      <c r="E134" s="429">
        <f t="shared" ref="E134:G134" si="4">E73-SUM(E74:E87)</f>
        <v>0</v>
      </c>
      <c r="F134" s="429">
        <f t="shared" si="4"/>
        <v>0</v>
      </c>
      <c r="G134" s="429">
        <f t="shared" si="4"/>
        <v>0</v>
      </c>
      <c r="H134" s="432">
        <f>H73-SUM(H74:H87)</f>
        <v>0</v>
      </c>
      <c r="I134" s="429">
        <f>I73-SUM(I74:I87)</f>
        <v>0</v>
      </c>
    </row>
    <row r="135" spans="1:9" ht="14.4">
      <c r="A135" s="430" t="s">
        <v>253</v>
      </c>
      <c r="B135" s="430"/>
      <c r="C135" s="430" t="s">
        <v>254</v>
      </c>
      <c r="D135" s="431"/>
      <c r="E135" s="429">
        <f t="shared" ref="E135:G135" si="5">E88-SUM(E89:E102)</f>
        <v>0</v>
      </c>
      <c r="F135" s="429">
        <f t="shared" si="5"/>
        <v>0</v>
      </c>
      <c r="G135" s="429">
        <f t="shared" si="5"/>
        <v>0</v>
      </c>
      <c r="H135" s="432">
        <f>H88-SUM(H89:H102)</f>
        <v>0</v>
      </c>
      <c r="I135" s="429">
        <f>I88-SUM(I89:I102)</f>
        <v>0</v>
      </c>
    </row>
    <row r="136" spans="1:9" ht="14.4">
      <c r="A136" s="433" t="s">
        <v>255</v>
      </c>
      <c r="B136" s="433"/>
      <c r="C136" s="433" t="s">
        <v>256</v>
      </c>
      <c r="D136" s="434"/>
      <c r="E136" s="435">
        <f t="shared" ref="E136:G136" si="6">E72-E73-E88</f>
        <v>0</v>
      </c>
      <c r="F136" s="435">
        <f t="shared" si="6"/>
        <v>0</v>
      </c>
      <c r="G136" s="435">
        <f t="shared" si="6"/>
        <v>0</v>
      </c>
      <c r="H136" s="436">
        <f>H72-H73-H88</f>
        <v>0</v>
      </c>
      <c r="I136" s="429">
        <f>I72-I73-I88</f>
        <v>0</v>
      </c>
    </row>
  </sheetData>
  <mergeCells count="2">
    <mergeCell ref="A1:A2"/>
    <mergeCell ref="C1:C2"/>
  </mergeCells>
  <conditionalFormatting sqref="E130:I136">
    <cfRule type="cellIs" dxfId="31" priority="1" operator="equal">
      <formula>0</formula>
    </cfRule>
    <cfRule type="cellIs" dxfId="30" priority="2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E235-3471-4DB4-AFAA-6EE4CB9BCD64}">
  <sheetPr>
    <tabColor theme="9"/>
  </sheetPr>
  <dimension ref="A1:N136"/>
  <sheetViews>
    <sheetView topLeftCell="A9" zoomScale="90" zoomScaleNormal="90" workbookViewId="0">
      <selection activeCell="A62" sqref="A62"/>
    </sheetView>
  </sheetViews>
  <sheetFormatPr defaultColWidth="9.109375" defaultRowHeight="14.4" outlineLevelRow="3" outlineLevelCol="1"/>
  <cols>
    <col min="1" max="1" width="42.77734375" style="2" bestFit="1" customWidth="1" outlineLevel="1"/>
    <col min="2" max="2" width="2.88671875" style="2" customWidth="1"/>
    <col min="3" max="3" width="43.33203125" style="2" bestFit="1" customWidth="1" outlineLevel="1"/>
    <col min="4" max="4" width="2.88671875" style="2" customWidth="1"/>
    <col min="5" max="14" width="9.21875" style="2" bestFit="1" customWidth="1"/>
    <col min="15" max="18" width="9.109375" style="2"/>
    <col min="19" max="19" width="14.44140625" style="2" bestFit="1" customWidth="1"/>
    <col min="20" max="16384" width="9.109375" style="2"/>
  </cols>
  <sheetData>
    <row r="1" spans="1:14">
      <c r="A1" s="666" t="s">
        <v>0</v>
      </c>
      <c r="B1" s="275"/>
      <c r="C1" s="666" t="s">
        <v>1</v>
      </c>
      <c r="D1" s="275"/>
      <c r="E1" s="400"/>
      <c r="F1" s="400"/>
      <c r="G1" s="400"/>
      <c r="H1" s="400"/>
      <c r="I1" s="400"/>
      <c r="J1" s="400"/>
      <c r="K1" s="400"/>
      <c r="L1" s="400"/>
      <c r="M1" s="400"/>
      <c r="N1" s="400"/>
    </row>
    <row r="2" spans="1:14" ht="15" thickBot="1">
      <c r="A2" s="667"/>
      <c r="B2" s="276"/>
      <c r="C2" s="667"/>
      <c r="D2" s="276"/>
      <c r="E2" s="404" t="s">
        <v>257</v>
      </c>
      <c r="F2" s="404" t="s">
        <v>258</v>
      </c>
      <c r="G2" s="404" t="s">
        <v>259</v>
      </c>
      <c r="H2" s="404" t="s">
        <v>260</v>
      </c>
      <c r="I2" s="404" t="s">
        <v>261</v>
      </c>
      <c r="J2" s="404" t="s">
        <v>262</v>
      </c>
      <c r="K2" s="404" t="s">
        <v>961</v>
      </c>
      <c r="L2" s="404" t="s">
        <v>962</v>
      </c>
      <c r="M2" s="404" t="s">
        <v>963</v>
      </c>
      <c r="N2" s="404" t="s">
        <v>964</v>
      </c>
    </row>
    <row r="3" spans="1:14">
      <c r="A3" s="406" t="s">
        <v>2</v>
      </c>
      <c r="B3" s="406"/>
      <c r="C3" s="406" t="s">
        <v>3</v>
      </c>
      <c r="D3" s="406"/>
      <c r="E3" s="407"/>
      <c r="F3" s="407"/>
      <c r="G3" s="407"/>
      <c r="H3" s="407"/>
      <c r="I3" s="407"/>
      <c r="J3" s="407"/>
      <c r="K3" s="407"/>
      <c r="L3" s="407"/>
      <c r="M3" s="407"/>
      <c r="N3" s="407"/>
    </row>
    <row r="4" spans="1:14">
      <c r="A4" s="406" t="s">
        <v>4</v>
      </c>
      <c r="B4" s="406"/>
      <c r="C4" s="406" t="s">
        <v>5</v>
      </c>
      <c r="D4" s="406"/>
      <c r="E4" s="407"/>
      <c r="F4" s="407"/>
      <c r="G4" s="407"/>
      <c r="H4" s="407"/>
      <c r="I4" s="407"/>
      <c r="J4" s="407"/>
      <c r="K4" s="407"/>
      <c r="L4" s="407"/>
      <c r="M4" s="407"/>
      <c r="N4" s="407"/>
    </row>
    <row r="5" spans="1:14">
      <c r="A5" s="406" t="s">
        <v>6</v>
      </c>
      <c r="B5" s="406"/>
      <c r="C5" s="406" t="s">
        <v>7</v>
      </c>
      <c r="D5" s="406"/>
      <c r="E5" s="407"/>
      <c r="F5" s="407"/>
      <c r="G5" s="407"/>
      <c r="H5" s="407"/>
      <c r="I5" s="407"/>
      <c r="J5" s="407"/>
      <c r="K5" s="407"/>
      <c r="L5" s="407"/>
      <c r="M5" s="407"/>
      <c r="N5" s="407"/>
    </row>
    <row r="6" spans="1:14">
      <c r="A6" s="408" t="s">
        <v>8</v>
      </c>
      <c r="B6" s="408"/>
      <c r="C6" s="437" t="s">
        <v>9</v>
      </c>
      <c r="D6" s="437"/>
      <c r="E6" s="438">
        <v>1409037526271</v>
      </c>
      <c r="F6" s="438">
        <v>1155329892754</v>
      </c>
      <c r="G6" s="438">
        <v>1241097341198</v>
      </c>
      <c r="H6" s="438">
        <v>1338882873206</v>
      </c>
      <c r="I6" s="438">
        <v>1534930595272</v>
      </c>
      <c r="J6" s="438">
        <v>3551337411765</v>
      </c>
      <c r="K6" s="438">
        <v>2273841866477</v>
      </c>
      <c r="L6" s="438">
        <v>1811557308602</v>
      </c>
      <c r="M6" s="438">
        <v>2184149555149</v>
      </c>
      <c r="N6" s="438">
        <v>2856221396120</v>
      </c>
    </row>
    <row r="7" spans="1:14" s="6" customFormat="1" outlineLevel="1">
      <c r="A7" s="410" t="s">
        <v>10</v>
      </c>
      <c r="B7" s="410"/>
      <c r="C7" s="410" t="s">
        <v>11</v>
      </c>
      <c r="D7" s="410"/>
      <c r="E7" s="439">
        <v>562194548070</v>
      </c>
      <c r="F7" s="439">
        <v>330747178714</v>
      </c>
      <c r="G7" s="439">
        <v>308834851881</v>
      </c>
      <c r="H7" s="439">
        <v>370506274358</v>
      </c>
      <c r="I7" s="439">
        <v>556699581545</v>
      </c>
      <c r="J7" s="439">
        <v>655668705735</v>
      </c>
      <c r="K7" s="439">
        <v>600764730236</v>
      </c>
      <c r="L7" s="439">
        <v>546631384396</v>
      </c>
      <c r="M7" s="439">
        <v>883423559831</v>
      </c>
      <c r="N7" s="439">
        <v>676759173937</v>
      </c>
    </row>
    <row r="8" spans="1:14" outlineLevel="2">
      <c r="A8" s="412" t="s">
        <v>12</v>
      </c>
      <c r="B8" s="412"/>
      <c r="C8" s="412" t="s">
        <v>13</v>
      </c>
      <c r="D8" s="412"/>
      <c r="E8" s="440">
        <v>325223629254</v>
      </c>
      <c r="F8" s="440">
        <v>150633485436</v>
      </c>
      <c r="G8" s="440">
        <v>136084851881</v>
      </c>
      <c r="H8" s="440">
        <v>135606274358</v>
      </c>
      <c r="I8" s="440">
        <v>384898581545</v>
      </c>
      <c r="J8" s="440">
        <v>336085705735</v>
      </c>
      <c r="K8" s="440">
        <v>471309730236</v>
      </c>
      <c r="L8" s="440">
        <v>340111384396</v>
      </c>
      <c r="M8" s="440">
        <v>393723559831</v>
      </c>
      <c r="N8" s="440">
        <v>325290173937</v>
      </c>
    </row>
    <row r="9" spans="1:14" outlineLevel="2">
      <c r="A9" s="412" t="s">
        <v>14</v>
      </c>
      <c r="B9" s="412"/>
      <c r="C9" s="412" t="s">
        <v>15</v>
      </c>
      <c r="D9" s="412"/>
      <c r="E9" s="440">
        <v>236970918816</v>
      </c>
      <c r="F9" s="440">
        <v>180113693278</v>
      </c>
      <c r="G9" s="440">
        <v>172750000000</v>
      </c>
      <c r="H9" s="440">
        <v>234900000000</v>
      </c>
      <c r="I9" s="440">
        <v>171801000000</v>
      </c>
      <c r="J9" s="440">
        <v>319583000000</v>
      </c>
      <c r="K9" s="440">
        <v>129455000000</v>
      </c>
      <c r="L9" s="440">
        <v>206520000000</v>
      </c>
      <c r="M9" s="440">
        <v>489700000000</v>
      </c>
      <c r="N9" s="440">
        <v>351469000000</v>
      </c>
    </row>
    <row r="10" spans="1:14" s="6" customFormat="1" outlineLevel="1">
      <c r="A10" s="410" t="s">
        <v>16</v>
      </c>
      <c r="B10" s="410"/>
      <c r="C10" s="410" t="s">
        <v>17</v>
      </c>
      <c r="D10" s="410"/>
      <c r="E10" s="439">
        <v>111367439500</v>
      </c>
      <c r="F10" s="439">
        <v>264148000000</v>
      </c>
      <c r="G10" s="439">
        <v>413826714686</v>
      </c>
      <c r="H10" s="439">
        <v>425016299943</v>
      </c>
      <c r="I10" s="439">
        <v>469863293757</v>
      </c>
      <c r="J10" s="439">
        <v>51883578552</v>
      </c>
      <c r="K10" s="439">
        <v>968931033587</v>
      </c>
      <c r="L10" s="439">
        <v>806333297341</v>
      </c>
      <c r="M10" s="439">
        <v>853380702240</v>
      </c>
      <c r="N10" s="439">
        <v>1721383996451</v>
      </c>
    </row>
    <row r="11" spans="1:14" outlineLevel="2">
      <c r="A11" s="412" t="s">
        <v>18</v>
      </c>
      <c r="B11" s="412"/>
      <c r="C11" s="412" t="s">
        <v>19</v>
      </c>
      <c r="D11" s="412"/>
      <c r="E11" s="440">
        <v>0</v>
      </c>
      <c r="F11" s="440">
        <v>0</v>
      </c>
      <c r="G11" s="440">
        <v>0</v>
      </c>
      <c r="H11" s="440">
        <v>0</v>
      </c>
      <c r="I11" s="440">
        <v>215461708500</v>
      </c>
      <c r="J11" s="440">
        <v>29683578552</v>
      </c>
      <c r="K11" s="440">
        <v>712541033587</v>
      </c>
      <c r="L11" s="440">
        <v>546648172508</v>
      </c>
      <c r="M11" s="440">
        <v>692356007368</v>
      </c>
      <c r="N11" s="440">
        <v>1404542928928</v>
      </c>
    </row>
    <row r="12" spans="1:14" outlineLevel="2">
      <c r="A12" s="412" t="s">
        <v>20</v>
      </c>
      <c r="B12" s="412"/>
      <c r="C12" s="412" t="s">
        <v>21</v>
      </c>
      <c r="D12" s="412"/>
      <c r="E12" s="440">
        <v>0</v>
      </c>
      <c r="F12" s="440">
        <v>0</v>
      </c>
      <c r="G12" s="440">
        <v>0</v>
      </c>
      <c r="H12" s="440">
        <v>0</v>
      </c>
      <c r="I12" s="440">
        <v>0</v>
      </c>
      <c r="J12" s="440">
        <v>0</v>
      </c>
      <c r="K12" s="440">
        <v>0</v>
      </c>
      <c r="L12" s="440">
        <v>-26064875167</v>
      </c>
      <c r="M12" s="440">
        <v>-11125305128</v>
      </c>
      <c r="N12" s="440">
        <v>-2308932477</v>
      </c>
    </row>
    <row r="13" spans="1:14" outlineLevel="2">
      <c r="A13" s="412" t="s">
        <v>22</v>
      </c>
      <c r="B13" s="412"/>
      <c r="C13" s="412" t="s">
        <v>23</v>
      </c>
      <c r="D13" s="412"/>
      <c r="E13" s="440">
        <v>111367439500</v>
      </c>
      <c r="F13" s="440">
        <v>264148000000</v>
      </c>
      <c r="G13" s="440">
        <v>413826714686</v>
      </c>
      <c r="H13" s="440">
        <v>425016299943</v>
      </c>
      <c r="I13" s="440">
        <v>254401585257</v>
      </c>
      <c r="J13" s="440">
        <v>22200000000</v>
      </c>
      <c r="K13" s="440">
        <v>256390000000</v>
      </c>
      <c r="L13" s="440">
        <v>285750000000</v>
      </c>
      <c r="M13" s="440">
        <v>172150000000</v>
      </c>
      <c r="N13" s="440">
        <v>319150000000</v>
      </c>
    </row>
    <row r="14" spans="1:14" s="6" customFormat="1" outlineLevel="1">
      <c r="A14" s="410" t="s">
        <v>24</v>
      </c>
      <c r="B14" s="410"/>
      <c r="C14" s="410" t="s">
        <v>25</v>
      </c>
      <c r="D14" s="410"/>
      <c r="E14" s="439">
        <v>599456379288</v>
      </c>
      <c r="F14" s="439">
        <v>434425753404</v>
      </c>
      <c r="G14" s="439">
        <v>431391845888</v>
      </c>
      <c r="H14" s="439">
        <v>459992517275</v>
      </c>
      <c r="I14" s="439">
        <v>421918186662</v>
      </c>
      <c r="J14" s="439">
        <v>2744767483791</v>
      </c>
      <c r="K14" s="439">
        <v>606625885186</v>
      </c>
      <c r="L14" s="439">
        <v>354874936762</v>
      </c>
      <c r="M14" s="439">
        <v>336164556041</v>
      </c>
      <c r="N14" s="439">
        <v>348420871459</v>
      </c>
    </row>
    <row r="15" spans="1:14" outlineLevel="2">
      <c r="A15" s="412" t="s">
        <v>26</v>
      </c>
      <c r="B15" s="412"/>
      <c r="C15" s="412" t="s">
        <v>27</v>
      </c>
      <c r="D15" s="412"/>
      <c r="E15" s="440">
        <v>171444908546</v>
      </c>
      <c r="F15" s="440">
        <v>204039063759</v>
      </c>
      <c r="G15" s="440">
        <v>229796518541</v>
      </c>
      <c r="H15" s="440">
        <v>205263011710</v>
      </c>
      <c r="I15" s="440">
        <v>206694904252</v>
      </c>
      <c r="J15" s="440">
        <v>306664694204</v>
      </c>
      <c r="K15" s="440">
        <v>255299695231</v>
      </c>
      <c r="L15" s="440">
        <v>236744183566</v>
      </c>
      <c r="M15" s="440">
        <v>229779044357</v>
      </c>
      <c r="N15" s="440">
        <v>263793638340</v>
      </c>
    </row>
    <row r="16" spans="1:14" outlineLevel="2">
      <c r="A16" s="412" t="s">
        <v>28</v>
      </c>
      <c r="B16" s="412"/>
      <c r="C16" s="412" t="s">
        <v>29</v>
      </c>
      <c r="D16" s="412"/>
      <c r="E16" s="440">
        <v>7495345183</v>
      </c>
      <c r="F16" s="440">
        <v>6851897276</v>
      </c>
      <c r="G16" s="440">
        <v>12131486755</v>
      </c>
      <c r="H16" s="440">
        <v>13578690375</v>
      </c>
      <c r="I16" s="440">
        <v>25025462752</v>
      </c>
      <c r="J16" s="440">
        <v>22298904863</v>
      </c>
      <c r="K16" s="440">
        <v>36925090068</v>
      </c>
      <c r="L16" s="440">
        <v>18808589913</v>
      </c>
      <c r="M16" s="440">
        <v>26804944326</v>
      </c>
      <c r="N16" s="440">
        <v>18346837122</v>
      </c>
    </row>
    <row r="17" spans="1:14" outlineLevel="2">
      <c r="A17" s="412" t="s">
        <v>30</v>
      </c>
      <c r="B17" s="412"/>
      <c r="C17" s="412" t="s">
        <v>31</v>
      </c>
      <c r="D17" s="412"/>
      <c r="E17" s="440">
        <v>0</v>
      </c>
      <c r="F17" s="440">
        <v>0</v>
      </c>
      <c r="G17" s="440">
        <v>0</v>
      </c>
      <c r="H17" s="440">
        <v>0</v>
      </c>
      <c r="I17" s="440">
        <v>0</v>
      </c>
      <c r="J17" s="440">
        <v>0</v>
      </c>
      <c r="K17" s="440">
        <v>0</v>
      </c>
      <c r="L17" s="440">
        <v>0</v>
      </c>
      <c r="M17" s="440">
        <v>0</v>
      </c>
      <c r="N17" s="440">
        <v>0</v>
      </c>
    </row>
    <row r="18" spans="1:14" outlineLevel="2">
      <c r="A18" s="412" t="s">
        <v>32</v>
      </c>
      <c r="B18" s="412"/>
      <c r="C18" s="412" t="s">
        <v>33</v>
      </c>
      <c r="D18" s="412"/>
      <c r="E18" s="440">
        <v>0</v>
      </c>
      <c r="F18" s="440">
        <v>0</v>
      </c>
      <c r="G18" s="440">
        <v>0</v>
      </c>
      <c r="H18" s="440">
        <v>0</v>
      </c>
      <c r="I18" s="440">
        <v>0</v>
      </c>
      <c r="J18" s="440">
        <v>0</v>
      </c>
      <c r="K18" s="440">
        <v>0</v>
      </c>
      <c r="L18" s="440">
        <v>0</v>
      </c>
      <c r="M18" s="440">
        <v>0</v>
      </c>
      <c r="N18" s="440">
        <v>0</v>
      </c>
    </row>
    <row r="19" spans="1:14" outlineLevel="2">
      <c r="A19" s="412" t="s">
        <v>34</v>
      </c>
      <c r="B19" s="412"/>
      <c r="C19" s="412" t="s">
        <v>35</v>
      </c>
      <c r="D19" s="412"/>
      <c r="E19" s="440">
        <v>0</v>
      </c>
      <c r="F19" s="440">
        <v>0</v>
      </c>
      <c r="G19" s="440">
        <v>0</v>
      </c>
      <c r="H19" s="440">
        <v>0</v>
      </c>
      <c r="I19" s="440">
        <v>0</v>
      </c>
      <c r="J19" s="440">
        <v>0</v>
      </c>
      <c r="K19" s="440">
        <v>0</v>
      </c>
      <c r="L19" s="440">
        <v>0</v>
      </c>
      <c r="M19" s="440">
        <v>0</v>
      </c>
      <c r="N19" s="440">
        <v>0</v>
      </c>
    </row>
    <row r="20" spans="1:14" outlineLevel="2">
      <c r="A20" s="412" t="s">
        <v>36</v>
      </c>
      <c r="B20" s="412"/>
      <c r="C20" s="412" t="s">
        <v>37</v>
      </c>
      <c r="D20" s="412"/>
      <c r="E20" s="440">
        <v>421525984641</v>
      </c>
      <c r="F20" s="440">
        <v>225114254472</v>
      </c>
      <c r="G20" s="440">
        <v>191043302695</v>
      </c>
      <c r="H20" s="440">
        <v>243187989027</v>
      </c>
      <c r="I20" s="440">
        <v>191998336453</v>
      </c>
      <c r="J20" s="440">
        <v>2418253058561</v>
      </c>
      <c r="K20" s="440">
        <v>317419876744</v>
      </c>
      <c r="L20" s="440">
        <v>103073509674</v>
      </c>
      <c r="M20" s="440">
        <v>83331913749</v>
      </c>
      <c r="N20" s="440">
        <v>70211875556</v>
      </c>
    </row>
    <row r="21" spans="1:14" outlineLevel="2">
      <c r="A21" s="412" t="s">
        <v>38</v>
      </c>
      <c r="B21" s="412"/>
      <c r="C21" s="412" t="s">
        <v>39</v>
      </c>
      <c r="D21" s="412"/>
      <c r="E21" s="440">
        <v>-1009859082</v>
      </c>
      <c r="F21" s="440">
        <v>-1579462103</v>
      </c>
      <c r="G21" s="440">
        <v>-1579462103</v>
      </c>
      <c r="H21" s="440">
        <v>-2037173837</v>
      </c>
      <c r="I21" s="440">
        <v>-1800516795</v>
      </c>
      <c r="J21" s="440">
        <v>-2449173837</v>
      </c>
      <c r="K21" s="440">
        <v>-3018776857</v>
      </c>
      <c r="L21" s="440">
        <v>-3751346391</v>
      </c>
      <c r="M21" s="440">
        <v>-3751346391</v>
      </c>
      <c r="N21" s="440">
        <v>-3931479559</v>
      </c>
    </row>
    <row r="22" spans="1:14" outlineLevel="2">
      <c r="A22" s="412" t="s">
        <v>40</v>
      </c>
      <c r="B22" s="412"/>
      <c r="C22" s="412" t="s">
        <v>41</v>
      </c>
      <c r="D22" s="412"/>
      <c r="E22" s="440">
        <v>0</v>
      </c>
      <c r="F22" s="440">
        <v>0</v>
      </c>
      <c r="G22" s="440">
        <v>0</v>
      </c>
      <c r="H22" s="440">
        <v>0</v>
      </c>
      <c r="I22" s="440">
        <v>0</v>
      </c>
      <c r="J22" s="440">
        <v>0</v>
      </c>
      <c r="K22" s="440">
        <v>0</v>
      </c>
      <c r="L22" s="440">
        <v>0</v>
      </c>
      <c r="M22" s="440">
        <v>0</v>
      </c>
      <c r="N22" s="440">
        <v>0</v>
      </c>
    </row>
    <row r="23" spans="1:14" s="6" customFormat="1" outlineLevel="1">
      <c r="A23" s="410" t="s">
        <v>42</v>
      </c>
      <c r="B23" s="410"/>
      <c r="C23" s="410" t="s">
        <v>43</v>
      </c>
      <c r="D23" s="410"/>
      <c r="E23" s="439">
        <v>28701553073</v>
      </c>
      <c r="F23" s="439">
        <v>27459665954</v>
      </c>
      <c r="G23" s="439">
        <v>28366508942</v>
      </c>
      <c r="H23" s="439">
        <v>29065056002</v>
      </c>
      <c r="I23" s="439">
        <v>28577744733</v>
      </c>
      <c r="J23" s="439">
        <v>28467820753</v>
      </c>
      <c r="K23" s="439">
        <v>37903816353</v>
      </c>
      <c r="L23" s="439">
        <v>47470252892</v>
      </c>
      <c r="M23" s="439">
        <v>45730681211</v>
      </c>
      <c r="N23" s="439">
        <v>44757119623</v>
      </c>
    </row>
    <row r="24" spans="1:14" outlineLevel="2">
      <c r="A24" s="412" t="s">
        <v>44</v>
      </c>
      <c r="B24" s="412"/>
      <c r="C24" s="412" t="s">
        <v>45</v>
      </c>
      <c r="D24" s="412"/>
      <c r="E24" s="440">
        <v>28701553073</v>
      </c>
      <c r="F24" s="440">
        <v>27459665954</v>
      </c>
      <c r="G24" s="440">
        <v>28366508942</v>
      </c>
      <c r="H24" s="440">
        <v>29065056002</v>
      </c>
      <c r="I24" s="440">
        <v>28577744733</v>
      </c>
      <c r="J24" s="440">
        <v>28467820753</v>
      </c>
      <c r="K24" s="440">
        <v>37903816353</v>
      </c>
      <c r="L24" s="440">
        <v>47470252892</v>
      </c>
      <c r="M24" s="440">
        <v>45730681211</v>
      </c>
      <c r="N24" s="440">
        <v>44757119623</v>
      </c>
    </row>
    <row r="25" spans="1:14" outlineLevel="2">
      <c r="A25" s="412" t="s">
        <v>46</v>
      </c>
      <c r="B25" s="412"/>
      <c r="C25" s="412" t="s">
        <v>47</v>
      </c>
      <c r="D25" s="412"/>
      <c r="E25" s="440">
        <v>0</v>
      </c>
      <c r="F25" s="440">
        <v>0</v>
      </c>
      <c r="G25" s="440">
        <v>0</v>
      </c>
      <c r="H25" s="440">
        <v>0</v>
      </c>
      <c r="I25" s="440">
        <v>0</v>
      </c>
      <c r="J25" s="440">
        <v>0</v>
      </c>
      <c r="K25" s="440">
        <v>0</v>
      </c>
      <c r="L25" s="440">
        <v>0</v>
      </c>
      <c r="M25" s="440">
        <v>0</v>
      </c>
      <c r="N25" s="440">
        <v>0</v>
      </c>
    </row>
    <row r="26" spans="1:14" s="6" customFormat="1" outlineLevel="1">
      <c r="A26" s="410" t="s">
        <v>48</v>
      </c>
      <c r="B26" s="410"/>
      <c r="C26" s="410" t="s">
        <v>49</v>
      </c>
      <c r="D26" s="410"/>
      <c r="E26" s="439">
        <v>107317606340</v>
      </c>
      <c r="F26" s="439">
        <v>98549294682</v>
      </c>
      <c r="G26" s="439">
        <v>58677419801</v>
      </c>
      <c r="H26" s="439">
        <v>54302725628</v>
      </c>
      <c r="I26" s="439">
        <v>57871788575</v>
      </c>
      <c r="J26" s="439">
        <v>70549822934</v>
      </c>
      <c r="K26" s="439">
        <v>59616401115</v>
      </c>
      <c r="L26" s="439">
        <v>56247437211</v>
      </c>
      <c r="M26" s="439">
        <v>65450055826</v>
      </c>
      <c r="N26" s="439">
        <v>64900234650</v>
      </c>
    </row>
    <row r="27" spans="1:14" outlineLevel="2">
      <c r="A27" s="412" t="s">
        <v>50</v>
      </c>
      <c r="B27" s="412"/>
      <c r="C27" s="412" t="s">
        <v>51</v>
      </c>
      <c r="D27" s="412"/>
      <c r="E27" s="440">
        <v>37673551912</v>
      </c>
      <c r="F27" s="440">
        <v>34841506497</v>
      </c>
      <c r="G27" s="440">
        <v>21433375310</v>
      </c>
      <c r="H27" s="440">
        <v>17300447246</v>
      </c>
      <c r="I27" s="440">
        <v>20231391690</v>
      </c>
      <c r="J27" s="440">
        <v>31848843597</v>
      </c>
      <c r="K27" s="440">
        <v>21395837178</v>
      </c>
      <c r="L27" s="440">
        <v>17693351014</v>
      </c>
      <c r="M27" s="440">
        <v>17807524952</v>
      </c>
      <c r="N27" s="440">
        <v>17947750269</v>
      </c>
    </row>
    <row r="28" spans="1:14" outlineLevel="2">
      <c r="A28" s="412" t="s">
        <v>52</v>
      </c>
      <c r="B28" s="412"/>
      <c r="C28" s="412" t="s">
        <v>53</v>
      </c>
      <c r="D28" s="412"/>
      <c r="E28" s="440">
        <v>67989402845</v>
      </c>
      <c r="F28" s="440">
        <v>62466596911</v>
      </c>
      <c r="G28" s="440">
        <v>35867393187</v>
      </c>
      <c r="H28" s="440">
        <v>35389709327</v>
      </c>
      <c r="I28" s="440">
        <v>35053830720</v>
      </c>
      <c r="J28" s="440">
        <v>36835776086</v>
      </c>
      <c r="K28" s="440">
        <v>35214554107</v>
      </c>
      <c r="L28" s="440">
        <v>35639643041</v>
      </c>
      <c r="M28" s="440">
        <v>46303756798</v>
      </c>
      <c r="N28" s="440">
        <v>45631288779</v>
      </c>
    </row>
    <row r="29" spans="1:14" outlineLevel="2">
      <c r="A29" s="412" t="s">
        <v>54</v>
      </c>
      <c r="B29" s="412"/>
      <c r="C29" s="412" t="s">
        <v>55</v>
      </c>
      <c r="D29" s="412"/>
      <c r="E29" s="440">
        <v>1654651583</v>
      </c>
      <c r="F29" s="440">
        <v>1241191274</v>
      </c>
      <c r="G29" s="440">
        <v>1376651304</v>
      </c>
      <c r="H29" s="440">
        <v>1612569055</v>
      </c>
      <c r="I29" s="440">
        <v>2586566165</v>
      </c>
      <c r="J29" s="440">
        <v>1865203251</v>
      </c>
      <c r="K29" s="440">
        <v>3006009830</v>
      </c>
      <c r="L29" s="440">
        <v>2914443156</v>
      </c>
      <c r="M29" s="440">
        <v>1338774076</v>
      </c>
      <c r="N29" s="440">
        <v>1321195602</v>
      </c>
    </row>
    <row r="30" spans="1:14" outlineLevel="2">
      <c r="A30" s="412" t="s">
        <v>56</v>
      </c>
      <c r="B30" s="412"/>
      <c r="C30" s="412" t="s">
        <v>57</v>
      </c>
      <c r="D30" s="412"/>
      <c r="E30" s="440">
        <v>0</v>
      </c>
      <c r="F30" s="440">
        <v>0</v>
      </c>
      <c r="G30" s="440">
        <v>0</v>
      </c>
      <c r="H30" s="440">
        <v>0</v>
      </c>
      <c r="I30" s="440">
        <v>0</v>
      </c>
      <c r="J30" s="440">
        <v>0</v>
      </c>
      <c r="K30" s="440">
        <v>0</v>
      </c>
      <c r="L30" s="440">
        <v>0</v>
      </c>
      <c r="M30" s="440">
        <v>0</v>
      </c>
      <c r="N30" s="440">
        <v>0</v>
      </c>
    </row>
    <row r="31" spans="1:14" outlineLevel="2">
      <c r="A31" s="412" t="s">
        <v>58</v>
      </c>
      <c r="B31" s="412"/>
      <c r="C31" s="412" t="s">
        <v>59</v>
      </c>
      <c r="D31" s="412"/>
      <c r="E31" s="440">
        <v>0</v>
      </c>
      <c r="F31" s="440">
        <v>0</v>
      </c>
      <c r="G31" s="440">
        <v>0</v>
      </c>
      <c r="H31" s="440">
        <v>0</v>
      </c>
      <c r="I31" s="440">
        <v>0</v>
      </c>
      <c r="J31" s="440">
        <v>0</v>
      </c>
      <c r="K31" s="440">
        <v>0</v>
      </c>
      <c r="L31" s="440">
        <v>0</v>
      </c>
      <c r="M31" s="440">
        <v>0</v>
      </c>
      <c r="N31" s="440">
        <v>0</v>
      </c>
    </row>
    <row r="32" spans="1:14">
      <c r="A32" s="415" t="s">
        <v>60</v>
      </c>
      <c r="B32" s="415"/>
      <c r="C32" s="415" t="s">
        <v>61</v>
      </c>
      <c r="D32" s="415"/>
      <c r="E32" s="441">
        <v>3011529531878</v>
      </c>
      <c r="F32" s="441">
        <v>3985431564604</v>
      </c>
      <c r="G32" s="441">
        <v>3930173319441</v>
      </c>
      <c r="H32" s="441">
        <v>3847670516991</v>
      </c>
      <c r="I32" s="441">
        <v>3799142528779</v>
      </c>
      <c r="J32" s="441">
        <v>2937294453880</v>
      </c>
      <c r="K32" s="441">
        <v>5037982039252</v>
      </c>
      <c r="L32" s="441">
        <v>5983572285936</v>
      </c>
      <c r="M32" s="441">
        <v>6028145625543</v>
      </c>
      <c r="N32" s="441">
        <v>5918866652176</v>
      </c>
    </row>
    <row r="33" spans="1:14" s="6" customFormat="1" outlineLevel="1">
      <c r="A33" s="410" t="s">
        <v>62</v>
      </c>
      <c r="B33" s="410"/>
      <c r="C33" s="410" t="s">
        <v>63</v>
      </c>
      <c r="D33" s="410"/>
      <c r="E33" s="439">
        <v>827174723552</v>
      </c>
      <c r="F33" s="439">
        <v>822174723552</v>
      </c>
      <c r="G33" s="439">
        <v>822214723552</v>
      </c>
      <c r="H33" s="439">
        <v>827203931552</v>
      </c>
      <c r="I33" s="439">
        <v>826005023552</v>
      </c>
      <c r="J33" s="439">
        <v>11894223552</v>
      </c>
      <c r="K33" s="439">
        <v>18972412352</v>
      </c>
      <c r="L33" s="439">
        <v>3624576352</v>
      </c>
      <c r="M33" s="439">
        <v>3624576352</v>
      </c>
      <c r="N33" s="439">
        <v>3654576352</v>
      </c>
    </row>
    <row r="34" spans="1:14" outlineLevel="2">
      <c r="A34" s="412" t="s">
        <v>64</v>
      </c>
      <c r="B34" s="412"/>
      <c r="C34" s="412" t="s">
        <v>65</v>
      </c>
      <c r="D34" s="412"/>
      <c r="E34" s="440">
        <v>0</v>
      </c>
      <c r="F34" s="440">
        <v>0</v>
      </c>
      <c r="G34" s="440">
        <v>0</v>
      </c>
      <c r="H34" s="440">
        <v>0</v>
      </c>
      <c r="I34" s="440">
        <v>0</v>
      </c>
      <c r="J34" s="440">
        <v>0</v>
      </c>
      <c r="K34" s="440">
        <v>0</v>
      </c>
      <c r="L34" s="440">
        <v>0</v>
      </c>
      <c r="M34" s="440">
        <v>0</v>
      </c>
      <c r="N34" s="440">
        <v>0</v>
      </c>
    </row>
    <row r="35" spans="1:14" outlineLevel="2">
      <c r="A35" s="412" t="s">
        <v>66</v>
      </c>
      <c r="B35" s="412"/>
      <c r="C35" s="412" t="s">
        <v>67</v>
      </c>
      <c r="D35" s="412"/>
      <c r="E35" s="440">
        <v>0</v>
      </c>
      <c r="F35" s="440">
        <v>0</v>
      </c>
      <c r="G35" s="440">
        <v>0</v>
      </c>
      <c r="H35" s="440">
        <v>0</v>
      </c>
      <c r="I35" s="440">
        <v>0</v>
      </c>
      <c r="J35" s="440">
        <v>0</v>
      </c>
      <c r="K35" s="440">
        <v>0</v>
      </c>
      <c r="L35" s="440">
        <v>0</v>
      </c>
      <c r="M35" s="440">
        <v>0</v>
      </c>
      <c r="N35" s="440">
        <v>0</v>
      </c>
    </row>
    <row r="36" spans="1:14" outlineLevel="2">
      <c r="A36" s="412" t="s">
        <v>68</v>
      </c>
      <c r="B36" s="412"/>
      <c r="C36" s="412" t="s">
        <v>69</v>
      </c>
      <c r="D36" s="412"/>
      <c r="E36" s="440">
        <v>0</v>
      </c>
      <c r="F36" s="440">
        <v>0</v>
      </c>
      <c r="G36" s="440">
        <v>0</v>
      </c>
      <c r="H36" s="440">
        <v>0</v>
      </c>
      <c r="I36" s="440">
        <v>0</v>
      </c>
      <c r="J36" s="440">
        <v>0</v>
      </c>
      <c r="K36" s="440">
        <v>0</v>
      </c>
      <c r="L36" s="440">
        <v>0</v>
      </c>
      <c r="M36" s="440">
        <v>0</v>
      </c>
      <c r="N36" s="440">
        <v>0</v>
      </c>
    </row>
    <row r="37" spans="1:14" outlineLevel="2">
      <c r="A37" s="412" t="s">
        <v>70</v>
      </c>
      <c r="B37" s="412"/>
      <c r="C37" s="412" t="s">
        <v>71</v>
      </c>
      <c r="D37" s="412"/>
      <c r="E37" s="440">
        <v>0</v>
      </c>
      <c r="F37" s="440">
        <v>0</v>
      </c>
      <c r="G37" s="440">
        <v>0</v>
      </c>
      <c r="H37" s="440">
        <v>0</v>
      </c>
      <c r="I37" s="440">
        <v>0</v>
      </c>
      <c r="J37" s="440">
        <v>0</v>
      </c>
      <c r="K37" s="440">
        <v>0</v>
      </c>
      <c r="L37" s="440">
        <v>0</v>
      </c>
      <c r="M37" s="440">
        <v>0</v>
      </c>
      <c r="N37" s="440">
        <v>0</v>
      </c>
    </row>
    <row r="38" spans="1:14" outlineLevel="2">
      <c r="A38" s="412" t="s">
        <v>72</v>
      </c>
      <c r="B38" s="412"/>
      <c r="C38" s="412" t="s">
        <v>73</v>
      </c>
      <c r="D38" s="412"/>
      <c r="E38" s="440">
        <v>0</v>
      </c>
      <c r="F38" s="440">
        <v>0</v>
      </c>
      <c r="G38" s="440">
        <v>0</v>
      </c>
      <c r="H38" s="440">
        <v>0</v>
      </c>
      <c r="I38" s="440">
        <v>0</v>
      </c>
      <c r="J38" s="440">
        <v>0</v>
      </c>
      <c r="K38" s="440">
        <v>0</v>
      </c>
      <c r="L38" s="440">
        <v>0</v>
      </c>
      <c r="M38" s="440">
        <v>0</v>
      </c>
      <c r="N38" s="440">
        <v>0</v>
      </c>
    </row>
    <row r="39" spans="1:14" outlineLevel="2">
      <c r="A39" s="412" t="s">
        <v>74</v>
      </c>
      <c r="B39" s="412"/>
      <c r="C39" s="412" t="s">
        <v>75</v>
      </c>
      <c r="D39" s="412"/>
      <c r="E39" s="440">
        <v>827174723552</v>
      </c>
      <c r="F39" s="440">
        <v>822174723552</v>
      </c>
      <c r="G39" s="440">
        <v>822214723552</v>
      </c>
      <c r="H39" s="440">
        <v>827203931552</v>
      </c>
      <c r="I39" s="440">
        <v>826005023552</v>
      </c>
      <c r="J39" s="440">
        <v>11894223552</v>
      </c>
      <c r="K39" s="440">
        <v>18972412352</v>
      </c>
      <c r="L39" s="440">
        <v>3624576352</v>
      </c>
      <c r="M39" s="440">
        <v>3624576352</v>
      </c>
      <c r="N39" s="440">
        <v>3654576352</v>
      </c>
    </row>
    <row r="40" spans="1:14" outlineLevel="2">
      <c r="A40" s="412" t="s">
        <v>76</v>
      </c>
      <c r="B40" s="412"/>
      <c r="C40" s="412" t="s">
        <v>77</v>
      </c>
      <c r="D40" s="412"/>
      <c r="E40" s="440">
        <v>0</v>
      </c>
      <c r="F40" s="440">
        <v>0</v>
      </c>
      <c r="G40" s="440">
        <v>0</v>
      </c>
      <c r="H40" s="440">
        <v>0</v>
      </c>
      <c r="I40" s="440">
        <v>0</v>
      </c>
      <c r="J40" s="440">
        <v>0</v>
      </c>
      <c r="K40" s="440">
        <v>0</v>
      </c>
      <c r="L40" s="440">
        <v>0</v>
      </c>
      <c r="M40" s="440">
        <v>0</v>
      </c>
      <c r="N40" s="440">
        <v>0</v>
      </c>
    </row>
    <row r="41" spans="1:14" s="6" customFormat="1" outlineLevel="1">
      <c r="A41" s="410" t="s">
        <v>78</v>
      </c>
      <c r="B41" s="410"/>
      <c r="C41" s="410" t="s">
        <v>79</v>
      </c>
      <c r="D41" s="410"/>
      <c r="E41" s="439">
        <v>780758039959</v>
      </c>
      <c r="F41" s="439">
        <v>732300175276</v>
      </c>
      <c r="G41" s="439">
        <v>683007823539</v>
      </c>
      <c r="H41" s="439">
        <v>643931552904</v>
      </c>
      <c r="I41" s="439">
        <v>609254335072</v>
      </c>
      <c r="J41" s="439">
        <v>574613599224</v>
      </c>
      <c r="K41" s="439">
        <v>3614820976392</v>
      </c>
      <c r="L41" s="439">
        <v>3611422058657</v>
      </c>
      <c r="M41" s="439">
        <v>3681307675015</v>
      </c>
      <c r="N41" s="439">
        <v>3597773642908</v>
      </c>
    </row>
    <row r="42" spans="1:14" outlineLevel="2">
      <c r="A42" s="412" t="s">
        <v>80</v>
      </c>
      <c r="B42" s="412"/>
      <c r="C42" s="412" t="s">
        <v>81</v>
      </c>
      <c r="D42" s="412"/>
      <c r="E42" s="440">
        <v>774774581903</v>
      </c>
      <c r="F42" s="440">
        <v>726302033366</v>
      </c>
      <c r="G42" s="440">
        <v>676801452860</v>
      </c>
      <c r="H42" s="440">
        <v>632776216056</v>
      </c>
      <c r="I42" s="440">
        <v>597617999075</v>
      </c>
      <c r="J42" s="440">
        <v>563251478929</v>
      </c>
      <c r="K42" s="440">
        <v>1127959559120</v>
      </c>
      <c r="L42" s="440">
        <v>1347446163423</v>
      </c>
      <c r="M42" s="440">
        <v>1437692505546</v>
      </c>
      <c r="N42" s="440">
        <v>1374789814328</v>
      </c>
    </row>
    <row r="43" spans="1:14" outlineLevel="3">
      <c r="A43" s="412" t="s">
        <v>82</v>
      </c>
      <c r="B43" s="412"/>
      <c r="C43" s="412" t="s">
        <v>83</v>
      </c>
      <c r="D43" s="412"/>
      <c r="E43" s="440">
        <v>2557187792313</v>
      </c>
      <c r="F43" s="440">
        <v>2561250904830</v>
      </c>
      <c r="G43" s="440">
        <v>2555449883933</v>
      </c>
      <c r="H43" s="440">
        <v>2556974350993</v>
      </c>
      <c r="I43" s="440">
        <v>2559803950656</v>
      </c>
      <c r="J43" s="440">
        <v>2559387672714</v>
      </c>
      <c r="K43" s="440">
        <v>3911453990386</v>
      </c>
      <c r="L43" s="440">
        <v>4195839269027</v>
      </c>
      <c r="M43" s="440">
        <v>4348063527979</v>
      </c>
      <c r="N43" s="440">
        <v>4348636652616</v>
      </c>
    </row>
    <row r="44" spans="1:14" outlineLevel="3">
      <c r="A44" s="412" t="s">
        <v>84</v>
      </c>
      <c r="B44" s="412"/>
      <c r="C44" s="412" t="s">
        <v>85</v>
      </c>
      <c r="D44" s="412"/>
      <c r="E44" s="440">
        <v>-1782413210410</v>
      </c>
      <c r="F44" s="440">
        <v>-1834948871464</v>
      </c>
      <c r="G44" s="440">
        <v>-1878648431073</v>
      </c>
      <c r="H44" s="440">
        <v>-1924198134937</v>
      </c>
      <c r="I44" s="440">
        <v>-1962185951581</v>
      </c>
      <c r="J44" s="440">
        <v>-1996136193785</v>
      </c>
      <c r="K44" s="440">
        <v>-2783494431266</v>
      </c>
      <c r="L44" s="440">
        <v>-2848393105604</v>
      </c>
      <c r="M44" s="440">
        <v>-2910371022433</v>
      </c>
      <c r="N44" s="440">
        <v>-2973846838288</v>
      </c>
    </row>
    <row r="45" spans="1:14" outlineLevel="2">
      <c r="A45" s="412" t="s">
        <v>86</v>
      </c>
      <c r="B45" s="412"/>
      <c r="C45" s="412" t="s">
        <v>87</v>
      </c>
      <c r="D45" s="412"/>
      <c r="E45" s="440">
        <v>0</v>
      </c>
      <c r="F45" s="440">
        <v>0</v>
      </c>
      <c r="G45" s="440">
        <v>259721555</v>
      </c>
      <c r="H45" s="440">
        <v>5043501523</v>
      </c>
      <c r="I45" s="440">
        <v>4899198121</v>
      </c>
      <c r="J45" s="440">
        <v>4754793040</v>
      </c>
      <c r="K45" s="440">
        <v>4610708404</v>
      </c>
      <c r="L45" s="440">
        <v>4466623768</v>
      </c>
      <c r="M45" s="440">
        <v>4322539132</v>
      </c>
      <c r="N45" s="440">
        <v>4178454496</v>
      </c>
    </row>
    <row r="46" spans="1:14" outlineLevel="3">
      <c r="A46" s="412" t="s">
        <v>88</v>
      </c>
      <c r="B46" s="412"/>
      <c r="C46" s="412" t="s">
        <v>83</v>
      </c>
      <c r="D46" s="412"/>
      <c r="E46" s="440">
        <v>0</v>
      </c>
      <c r="F46" s="440">
        <v>0</v>
      </c>
      <c r="G46" s="440">
        <v>259721555</v>
      </c>
      <c r="H46" s="440">
        <v>5187601567</v>
      </c>
      <c r="I46" s="440">
        <v>5187601567</v>
      </c>
      <c r="J46" s="440">
        <v>5187601567</v>
      </c>
      <c r="K46" s="440">
        <v>5187601567</v>
      </c>
      <c r="L46" s="440">
        <v>5187601567</v>
      </c>
      <c r="M46" s="440">
        <v>5187601567</v>
      </c>
      <c r="N46" s="440">
        <v>5187601567</v>
      </c>
    </row>
    <row r="47" spans="1:14" outlineLevel="3">
      <c r="A47" s="412" t="s">
        <v>89</v>
      </c>
      <c r="B47" s="412"/>
      <c r="C47" s="412" t="s">
        <v>85</v>
      </c>
      <c r="D47" s="412"/>
      <c r="E47" s="440">
        <v>0</v>
      </c>
      <c r="F47" s="440">
        <v>0</v>
      </c>
      <c r="G47" s="440">
        <v>0</v>
      </c>
      <c r="H47" s="440">
        <v>-144100044</v>
      </c>
      <c r="I47" s="440">
        <v>-288403446</v>
      </c>
      <c r="J47" s="440">
        <v>-432808527</v>
      </c>
      <c r="K47" s="440">
        <v>-576893163</v>
      </c>
      <c r="L47" s="440">
        <v>-720977799</v>
      </c>
      <c r="M47" s="440">
        <v>-865062435</v>
      </c>
      <c r="N47" s="440">
        <v>-1009147071</v>
      </c>
    </row>
    <row r="48" spans="1:14" outlineLevel="2">
      <c r="A48" s="412" t="s">
        <v>90</v>
      </c>
      <c r="B48" s="412"/>
      <c r="C48" s="412" t="s">
        <v>91</v>
      </c>
      <c r="D48" s="412"/>
      <c r="E48" s="440">
        <v>5983458056</v>
      </c>
      <c r="F48" s="440">
        <v>5998141910</v>
      </c>
      <c r="G48" s="440">
        <v>5946649124</v>
      </c>
      <c r="H48" s="440">
        <v>6111835325</v>
      </c>
      <c r="I48" s="440">
        <v>6737137876</v>
      </c>
      <c r="J48" s="440">
        <v>6607327255</v>
      </c>
      <c r="K48" s="440">
        <v>2482250708868</v>
      </c>
      <c r="L48" s="440">
        <v>2259509271466</v>
      </c>
      <c r="M48" s="440">
        <v>2239292630337</v>
      </c>
      <c r="N48" s="440">
        <v>2218805374084</v>
      </c>
    </row>
    <row r="49" spans="1:14" outlineLevel="3">
      <c r="A49" s="412" t="s">
        <v>92</v>
      </c>
      <c r="B49" s="412"/>
      <c r="C49" s="412" t="s">
        <v>83</v>
      </c>
      <c r="D49" s="412"/>
      <c r="E49" s="440">
        <v>21881518750</v>
      </c>
      <c r="F49" s="440">
        <v>22001518750</v>
      </c>
      <c r="G49" s="440">
        <v>22001518750</v>
      </c>
      <c r="H49" s="440">
        <v>22239958750</v>
      </c>
      <c r="I49" s="440">
        <v>22980308750</v>
      </c>
      <c r="J49" s="440">
        <v>22980308750</v>
      </c>
      <c r="K49" s="440">
        <v>2525092048542</v>
      </c>
      <c r="L49" s="440">
        <v>2320997600260</v>
      </c>
      <c r="M49" s="440">
        <v>2321484100260</v>
      </c>
      <c r="N49" s="440">
        <v>2321484100260</v>
      </c>
    </row>
    <row r="50" spans="1:14" outlineLevel="3">
      <c r="A50" s="412" t="s">
        <v>93</v>
      </c>
      <c r="B50" s="412"/>
      <c r="C50" s="412" t="s">
        <v>85</v>
      </c>
      <c r="D50" s="412"/>
      <c r="E50" s="440">
        <v>-15898060694</v>
      </c>
      <c r="F50" s="440">
        <v>-16003376840</v>
      </c>
      <c r="G50" s="440">
        <v>-16054869626</v>
      </c>
      <c r="H50" s="440">
        <v>-16128123425</v>
      </c>
      <c r="I50" s="440">
        <v>-16243170874</v>
      </c>
      <c r="J50" s="440">
        <v>-16372981495</v>
      </c>
      <c r="K50" s="440">
        <v>-42841339674</v>
      </c>
      <c r="L50" s="440">
        <v>-61488328794</v>
      </c>
      <c r="M50" s="440">
        <v>-82191469923</v>
      </c>
      <c r="N50" s="440">
        <v>-102678726176</v>
      </c>
    </row>
    <row r="51" spans="1:14" outlineLevel="2">
      <c r="A51" s="412" t="s">
        <v>94</v>
      </c>
      <c r="B51" s="412"/>
      <c r="C51" s="412" t="s">
        <v>95</v>
      </c>
      <c r="D51" s="412"/>
      <c r="E51" s="440">
        <v>0</v>
      </c>
      <c r="F51" s="440">
        <v>0</v>
      </c>
      <c r="G51" s="440">
        <v>0</v>
      </c>
      <c r="H51" s="440">
        <v>0</v>
      </c>
      <c r="I51" s="440">
        <v>0</v>
      </c>
      <c r="J51" s="440">
        <v>0</v>
      </c>
      <c r="K51" s="440">
        <v>0</v>
      </c>
      <c r="L51" s="440">
        <v>0</v>
      </c>
      <c r="M51" s="440">
        <v>0</v>
      </c>
      <c r="N51" s="440">
        <v>0</v>
      </c>
    </row>
    <row r="52" spans="1:14" s="6" customFormat="1" outlineLevel="1">
      <c r="A52" s="410" t="s">
        <v>96</v>
      </c>
      <c r="B52" s="410"/>
      <c r="C52" s="410" t="s">
        <v>97</v>
      </c>
      <c r="D52" s="410"/>
      <c r="E52" s="439">
        <v>0</v>
      </c>
      <c r="F52" s="439">
        <v>0</v>
      </c>
      <c r="G52" s="439">
        <v>0</v>
      </c>
      <c r="H52" s="439">
        <v>0</v>
      </c>
      <c r="I52" s="439">
        <v>0</v>
      </c>
      <c r="J52" s="439">
        <v>0</v>
      </c>
      <c r="K52" s="439">
        <v>0</v>
      </c>
      <c r="L52" s="439">
        <v>0</v>
      </c>
      <c r="M52" s="439">
        <v>0</v>
      </c>
      <c r="N52" s="439">
        <v>0</v>
      </c>
    </row>
    <row r="53" spans="1:14" outlineLevel="2">
      <c r="A53" s="412" t="s">
        <v>98</v>
      </c>
      <c r="B53" s="412"/>
      <c r="C53" s="412" t="s">
        <v>99</v>
      </c>
      <c r="D53" s="412"/>
      <c r="E53" s="440">
        <v>0</v>
      </c>
      <c r="F53" s="440">
        <v>0</v>
      </c>
      <c r="G53" s="440">
        <v>0</v>
      </c>
      <c r="H53" s="440">
        <v>0</v>
      </c>
      <c r="I53" s="440">
        <v>0</v>
      </c>
      <c r="J53" s="440">
        <v>0</v>
      </c>
      <c r="K53" s="440">
        <v>0</v>
      </c>
      <c r="L53" s="440">
        <v>0</v>
      </c>
      <c r="M53" s="440">
        <v>0</v>
      </c>
      <c r="N53" s="440">
        <v>0</v>
      </c>
    </row>
    <row r="54" spans="1:14" outlineLevel="2">
      <c r="A54" s="412" t="s">
        <v>100</v>
      </c>
      <c r="B54" s="412"/>
      <c r="C54" s="412" t="s">
        <v>101</v>
      </c>
      <c r="D54" s="412"/>
      <c r="E54" s="440">
        <v>0</v>
      </c>
      <c r="F54" s="440">
        <v>0</v>
      </c>
      <c r="G54" s="440">
        <v>0</v>
      </c>
      <c r="H54" s="440">
        <v>0</v>
      </c>
      <c r="I54" s="440">
        <v>0</v>
      </c>
      <c r="J54" s="440">
        <v>0</v>
      </c>
      <c r="K54" s="440">
        <v>0</v>
      </c>
      <c r="L54" s="440">
        <v>0</v>
      </c>
      <c r="M54" s="440">
        <v>0</v>
      </c>
      <c r="N54" s="440">
        <v>0</v>
      </c>
    </row>
    <row r="55" spans="1:14" s="6" customFormat="1" outlineLevel="1">
      <c r="A55" s="410" t="s">
        <v>102</v>
      </c>
      <c r="B55" s="410"/>
      <c r="C55" s="410" t="s">
        <v>103</v>
      </c>
      <c r="D55" s="410"/>
      <c r="E55" s="439">
        <v>866181565</v>
      </c>
      <c r="F55" s="439">
        <v>1083897306</v>
      </c>
      <c r="G55" s="439">
        <v>2349137662</v>
      </c>
      <c r="H55" s="439">
        <v>0</v>
      </c>
      <c r="I55" s="439">
        <v>0</v>
      </c>
      <c r="J55" s="439">
        <v>6045082721</v>
      </c>
      <c r="K55" s="439">
        <v>598303926</v>
      </c>
      <c r="L55" s="439">
        <v>396378000</v>
      </c>
      <c r="M55" s="439">
        <v>396378000</v>
      </c>
      <c r="N55" s="439">
        <v>396378000</v>
      </c>
    </row>
    <row r="56" spans="1:14" outlineLevel="2">
      <c r="A56" s="412" t="s">
        <v>104</v>
      </c>
      <c r="B56" s="412"/>
      <c r="C56" s="412" t="s">
        <v>105</v>
      </c>
      <c r="D56" s="412"/>
      <c r="E56" s="440">
        <v>715656565</v>
      </c>
      <c r="F56" s="440">
        <v>0</v>
      </c>
      <c r="G56" s="440">
        <v>0</v>
      </c>
      <c r="H56" s="440">
        <v>0</v>
      </c>
      <c r="I56" s="440">
        <v>0</v>
      </c>
      <c r="J56" s="440">
        <v>0</v>
      </c>
      <c r="K56" s="440">
        <v>0</v>
      </c>
      <c r="L56" s="440">
        <v>0</v>
      </c>
      <c r="M56" s="440">
        <v>0</v>
      </c>
      <c r="N56" s="440">
        <v>0</v>
      </c>
    </row>
    <row r="57" spans="1:14" outlineLevel="2">
      <c r="A57" s="412" t="s">
        <v>106</v>
      </c>
      <c r="B57" s="412"/>
      <c r="C57" s="412" t="s">
        <v>107</v>
      </c>
      <c r="D57" s="412"/>
      <c r="E57" s="440">
        <v>150525000</v>
      </c>
      <c r="F57" s="440">
        <v>1083897306</v>
      </c>
      <c r="G57" s="440">
        <v>2349137662</v>
      </c>
      <c r="H57" s="440">
        <v>0</v>
      </c>
      <c r="I57" s="440">
        <v>0</v>
      </c>
      <c r="J57" s="440">
        <v>6045082721</v>
      </c>
      <c r="K57" s="440">
        <v>598303926</v>
      </c>
      <c r="L57" s="440">
        <v>396378000</v>
      </c>
      <c r="M57" s="440">
        <v>396378000</v>
      </c>
      <c r="N57" s="440">
        <v>396378000</v>
      </c>
    </row>
    <row r="58" spans="1:14" s="6" customFormat="1" outlineLevel="1">
      <c r="A58" s="410" t="s">
        <v>108</v>
      </c>
      <c r="B58" s="410"/>
      <c r="C58" s="410" t="s">
        <v>109</v>
      </c>
      <c r="D58" s="410"/>
      <c r="E58" s="439">
        <v>486680522471</v>
      </c>
      <c r="F58" s="439">
        <v>1526356840010</v>
      </c>
      <c r="G58" s="439">
        <v>1526356840010</v>
      </c>
      <c r="H58" s="439">
        <v>1470217463204</v>
      </c>
      <c r="I58" s="439">
        <v>1470217463204</v>
      </c>
      <c r="J58" s="439">
        <v>1453664948858</v>
      </c>
      <c r="K58" s="439">
        <v>379837373045</v>
      </c>
      <c r="L58" s="439">
        <v>759362263714</v>
      </c>
      <c r="M58" s="439">
        <v>757861077540</v>
      </c>
      <c r="N58" s="439">
        <v>757902336457</v>
      </c>
    </row>
    <row r="59" spans="1:14" outlineLevel="2">
      <c r="A59" s="412" t="s">
        <v>110</v>
      </c>
      <c r="B59" s="412"/>
      <c r="C59" s="412" t="s">
        <v>111</v>
      </c>
      <c r="D59" s="412"/>
      <c r="E59" s="440">
        <v>0</v>
      </c>
      <c r="F59" s="440">
        <v>0</v>
      </c>
      <c r="G59" s="440">
        <v>0</v>
      </c>
      <c r="H59" s="440">
        <v>0</v>
      </c>
      <c r="I59" s="440">
        <v>0</v>
      </c>
      <c r="J59" s="440">
        <v>0</v>
      </c>
      <c r="K59" s="440">
        <v>0</v>
      </c>
      <c r="L59" s="440">
        <v>0</v>
      </c>
      <c r="M59" s="440">
        <v>0</v>
      </c>
      <c r="N59" s="440">
        <v>0</v>
      </c>
    </row>
    <row r="60" spans="1:14" outlineLevel="2">
      <c r="A60" s="412" t="s">
        <v>112</v>
      </c>
      <c r="B60" s="412"/>
      <c r="C60" s="412" t="s">
        <v>113</v>
      </c>
      <c r="D60" s="412"/>
      <c r="E60" s="440">
        <v>486525522471</v>
      </c>
      <c r="F60" s="440">
        <v>1526201840010</v>
      </c>
      <c r="G60" s="440">
        <v>1526201840010</v>
      </c>
      <c r="H60" s="440">
        <v>1470062463204</v>
      </c>
      <c r="I60" s="440">
        <v>1470062463204</v>
      </c>
      <c r="J60" s="440">
        <v>1453509948858</v>
      </c>
      <c r="K60" s="440">
        <v>379682373045</v>
      </c>
      <c r="L60" s="440">
        <v>759207263714</v>
      </c>
      <c r="M60" s="440">
        <v>757706077540</v>
      </c>
      <c r="N60" s="440">
        <v>757747336457</v>
      </c>
    </row>
    <row r="61" spans="1:14" outlineLevel="2">
      <c r="A61" s="412" t="s">
        <v>114</v>
      </c>
      <c r="B61" s="412"/>
      <c r="C61" s="412" t="s">
        <v>115</v>
      </c>
      <c r="D61" s="412"/>
      <c r="E61" s="440">
        <v>155000000</v>
      </c>
      <c r="F61" s="440">
        <v>155000000</v>
      </c>
      <c r="G61" s="440">
        <v>155000000</v>
      </c>
      <c r="H61" s="440">
        <v>155000000</v>
      </c>
      <c r="I61" s="440">
        <v>155000000</v>
      </c>
      <c r="J61" s="440">
        <v>155000000</v>
      </c>
      <c r="K61" s="440">
        <v>155000000</v>
      </c>
      <c r="L61" s="440">
        <v>155000000</v>
      </c>
      <c r="M61" s="440">
        <v>155000000</v>
      </c>
      <c r="N61" s="440">
        <v>155000000</v>
      </c>
    </row>
    <row r="62" spans="1:14" outlineLevel="2">
      <c r="A62" s="412" t="s">
        <v>116</v>
      </c>
      <c r="B62" s="412"/>
      <c r="C62" s="412" t="s">
        <v>117</v>
      </c>
      <c r="D62" s="412"/>
      <c r="E62" s="440">
        <v>0</v>
      </c>
      <c r="F62" s="440">
        <v>0</v>
      </c>
      <c r="G62" s="440">
        <v>0</v>
      </c>
      <c r="H62" s="440">
        <v>0</v>
      </c>
      <c r="I62" s="440">
        <v>0</v>
      </c>
      <c r="J62" s="440">
        <v>0</v>
      </c>
      <c r="K62" s="440">
        <v>0</v>
      </c>
      <c r="L62" s="440">
        <v>0</v>
      </c>
      <c r="M62" s="440">
        <v>0</v>
      </c>
      <c r="N62" s="440">
        <v>0</v>
      </c>
    </row>
    <row r="63" spans="1:14" outlineLevel="2">
      <c r="A63" s="412" t="s">
        <v>22</v>
      </c>
      <c r="B63" s="412"/>
      <c r="C63" s="412" t="s">
        <v>23</v>
      </c>
      <c r="D63" s="412"/>
      <c r="E63" s="440">
        <v>0</v>
      </c>
      <c r="F63" s="440">
        <v>0</v>
      </c>
      <c r="G63" s="440">
        <v>0</v>
      </c>
      <c r="H63" s="440">
        <v>0</v>
      </c>
      <c r="I63" s="440">
        <v>0</v>
      </c>
      <c r="J63" s="440">
        <v>0</v>
      </c>
      <c r="K63" s="440">
        <v>0</v>
      </c>
      <c r="L63" s="440">
        <v>0</v>
      </c>
      <c r="M63" s="440">
        <v>0</v>
      </c>
      <c r="N63" s="440">
        <v>0</v>
      </c>
    </row>
    <row r="64" spans="1:14" s="6" customFormat="1" outlineLevel="1">
      <c r="A64" s="410" t="s">
        <v>1069</v>
      </c>
      <c r="B64" s="410"/>
      <c r="C64" s="410" t="s">
        <v>1070</v>
      </c>
      <c r="D64" s="410"/>
      <c r="E64" s="442">
        <v>0</v>
      </c>
      <c r="F64" s="442">
        <v>0</v>
      </c>
      <c r="G64" s="442">
        <v>0</v>
      </c>
      <c r="H64" s="442">
        <v>0</v>
      </c>
      <c r="I64" s="442">
        <v>0</v>
      </c>
      <c r="J64" s="442">
        <v>0</v>
      </c>
      <c r="K64" s="442">
        <v>0</v>
      </c>
      <c r="L64" s="442">
        <v>0</v>
      </c>
      <c r="M64" s="442">
        <v>0</v>
      </c>
      <c r="N64" s="442">
        <v>0</v>
      </c>
    </row>
    <row r="65" spans="1:14" s="6" customFormat="1" outlineLevel="1">
      <c r="A65" s="410" t="s">
        <v>120</v>
      </c>
      <c r="B65" s="410"/>
      <c r="C65" s="410" t="s">
        <v>121</v>
      </c>
      <c r="D65" s="410"/>
      <c r="E65" s="442">
        <v>916050064331</v>
      </c>
      <c r="F65" s="442">
        <v>903515928460</v>
      </c>
      <c r="G65" s="442">
        <v>896244794678</v>
      </c>
      <c r="H65" s="442">
        <v>906317569331</v>
      </c>
      <c r="I65" s="442">
        <v>893665706951</v>
      </c>
      <c r="J65" s="442">
        <v>891076599525</v>
      </c>
      <c r="K65" s="442">
        <v>1023752973537</v>
      </c>
      <c r="L65" s="442">
        <v>1608767009213</v>
      </c>
      <c r="M65" s="442">
        <v>1584955918636</v>
      </c>
      <c r="N65" s="442">
        <v>1559139718459</v>
      </c>
    </row>
    <row r="66" spans="1:14" outlineLevel="2">
      <c r="A66" s="412" t="s">
        <v>122</v>
      </c>
      <c r="B66" s="412"/>
      <c r="C66" s="412" t="s">
        <v>123</v>
      </c>
      <c r="D66" s="412"/>
      <c r="E66" s="440">
        <v>911340729572</v>
      </c>
      <c r="F66" s="440">
        <v>898946929099</v>
      </c>
      <c r="G66" s="440">
        <v>891675795317</v>
      </c>
      <c r="H66" s="440">
        <v>901301389723</v>
      </c>
      <c r="I66" s="440">
        <v>888649527343</v>
      </c>
      <c r="J66" s="440">
        <v>879814178207</v>
      </c>
      <c r="K66" s="440">
        <v>1019437176219</v>
      </c>
      <c r="L66" s="440">
        <v>1152722738658</v>
      </c>
      <c r="M66" s="440">
        <v>1140888138509</v>
      </c>
      <c r="N66" s="440">
        <v>1125719898733</v>
      </c>
    </row>
    <row r="67" spans="1:14" outlineLevel="2">
      <c r="A67" s="412" t="s">
        <v>124</v>
      </c>
      <c r="B67" s="412"/>
      <c r="C67" s="412" t="s">
        <v>125</v>
      </c>
      <c r="D67" s="412"/>
      <c r="E67" s="440">
        <v>108305270</v>
      </c>
      <c r="F67" s="440">
        <v>78731647</v>
      </c>
      <c r="G67" s="440">
        <v>78731647</v>
      </c>
      <c r="H67" s="440">
        <v>18611932</v>
      </c>
      <c r="I67" s="440">
        <v>18611932</v>
      </c>
      <c r="J67" s="440">
        <v>11176784</v>
      </c>
      <c r="K67" s="440">
        <v>11176784</v>
      </c>
      <c r="L67" s="440">
        <v>0</v>
      </c>
      <c r="M67" s="440">
        <v>0</v>
      </c>
      <c r="N67" s="440">
        <v>0</v>
      </c>
    </row>
    <row r="68" spans="1:14" outlineLevel="2">
      <c r="A68" s="412" t="s">
        <v>126</v>
      </c>
      <c r="B68" s="412"/>
      <c r="C68" s="412" t="s">
        <v>127</v>
      </c>
      <c r="D68" s="412"/>
      <c r="E68" s="440">
        <v>428200000</v>
      </c>
      <c r="F68" s="440">
        <v>428200000</v>
      </c>
      <c r="G68" s="440">
        <v>428200000</v>
      </c>
      <c r="H68" s="440">
        <v>0</v>
      </c>
      <c r="I68" s="440">
        <v>0</v>
      </c>
      <c r="J68" s="440">
        <v>428200000</v>
      </c>
      <c r="K68" s="440">
        <v>0</v>
      </c>
      <c r="L68" s="440">
        <v>0</v>
      </c>
      <c r="M68" s="440">
        <v>0</v>
      </c>
      <c r="N68" s="440">
        <v>0</v>
      </c>
    </row>
    <row r="69" spans="1:14" outlineLevel="2">
      <c r="A69" s="412" t="s">
        <v>128</v>
      </c>
      <c r="B69" s="412"/>
      <c r="C69" s="412" t="s">
        <v>129</v>
      </c>
      <c r="D69" s="412"/>
      <c r="E69" s="440">
        <v>4172829489</v>
      </c>
      <c r="F69" s="440">
        <v>0</v>
      </c>
      <c r="G69" s="440">
        <v>4062067714</v>
      </c>
      <c r="H69" s="440">
        <v>428200000</v>
      </c>
      <c r="I69" s="440">
        <v>428200000</v>
      </c>
      <c r="J69" s="440">
        <v>6518424000</v>
      </c>
      <c r="K69" s="440">
        <v>0</v>
      </c>
      <c r="L69" s="440">
        <v>6000000000</v>
      </c>
      <c r="M69" s="440">
        <v>6000000000</v>
      </c>
      <c r="N69" s="440">
        <v>7000000000</v>
      </c>
    </row>
    <row r="70" spans="1:14" outlineLevel="2">
      <c r="A70" s="412" t="s">
        <v>130</v>
      </c>
      <c r="B70" s="412"/>
      <c r="C70" s="412" t="s">
        <v>131</v>
      </c>
      <c r="D70" s="412"/>
      <c r="E70" s="440">
        <v>0</v>
      </c>
      <c r="F70" s="440">
        <v>4062067714</v>
      </c>
      <c r="G70" s="440">
        <v>0</v>
      </c>
      <c r="H70" s="440">
        <v>4569367676</v>
      </c>
      <c r="I70" s="440">
        <v>4569367676</v>
      </c>
      <c r="J70" s="440">
        <v>4304620534</v>
      </c>
      <c r="K70" s="440">
        <v>4304620534</v>
      </c>
      <c r="L70" s="440">
        <v>450044270555</v>
      </c>
      <c r="M70" s="440">
        <v>438067780127</v>
      </c>
      <c r="N70" s="440">
        <v>426419819726</v>
      </c>
    </row>
    <row r="71" spans="1:14">
      <c r="A71" s="415" t="s">
        <v>132</v>
      </c>
      <c r="B71" s="415"/>
      <c r="C71" s="415" t="s">
        <v>133</v>
      </c>
      <c r="D71" s="415"/>
      <c r="E71" s="441">
        <v>4420567058149</v>
      </c>
      <c r="F71" s="441">
        <v>5140761457358</v>
      </c>
      <c r="G71" s="441">
        <v>5171270660639</v>
      </c>
      <c r="H71" s="441">
        <v>5186553390197</v>
      </c>
      <c r="I71" s="441">
        <v>5334073124051</v>
      </c>
      <c r="J71" s="441">
        <v>6488631865645</v>
      </c>
      <c r="K71" s="441">
        <v>7311823905729</v>
      </c>
      <c r="L71" s="441">
        <v>7795129594538</v>
      </c>
      <c r="M71" s="441">
        <v>8212295180692</v>
      </c>
      <c r="N71" s="441">
        <v>8775088048296</v>
      </c>
    </row>
    <row r="72" spans="1:14">
      <c r="A72" s="417" t="s">
        <v>134</v>
      </c>
      <c r="B72" s="417"/>
      <c r="C72" s="417" t="s">
        <v>135</v>
      </c>
      <c r="D72" s="417"/>
      <c r="E72" s="443">
        <v>1379185537730</v>
      </c>
      <c r="F72" s="443">
        <v>1966782891318</v>
      </c>
      <c r="G72" s="443">
        <v>1948539831944</v>
      </c>
      <c r="H72" s="443">
        <v>1889730309747</v>
      </c>
      <c r="I72" s="443">
        <v>1997273194365</v>
      </c>
      <c r="J72" s="443">
        <v>1833152342881</v>
      </c>
      <c r="K72" s="443">
        <v>2713018947614</v>
      </c>
      <c r="L72" s="443">
        <v>2899013876257</v>
      </c>
      <c r="M72" s="443">
        <v>3087884707579</v>
      </c>
      <c r="N72" s="443">
        <v>3704970346880</v>
      </c>
    </row>
    <row r="73" spans="1:14" outlineLevel="1">
      <c r="A73" s="417" t="s">
        <v>136</v>
      </c>
      <c r="B73" s="417"/>
      <c r="C73" s="417" t="s">
        <v>137</v>
      </c>
      <c r="D73" s="417"/>
      <c r="E73" s="443">
        <v>647292197864</v>
      </c>
      <c r="F73" s="443">
        <v>475126201901</v>
      </c>
      <c r="G73" s="443">
        <v>460534404243</v>
      </c>
      <c r="H73" s="443">
        <v>399977122005</v>
      </c>
      <c r="I73" s="443">
        <v>437710110495</v>
      </c>
      <c r="J73" s="443">
        <v>351397641481</v>
      </c>
      <c r="K73" s="443">
        <v>938802844242</v>
      </c>
      <c r="L73" s="443">
        <v>715021123705</v>
      </c>
      <c r="M73" s="443">
        <v>788936287108</v>
      </c>
      <c r="N73" s="443">
        <v>1443589856777</v>
      </c>
    </row>
    <row r="74" spans="1:14" outlineLevel="2">
      <c r="A74" s="412" t="s">
        <v>138</v>
      </c>
      <c r="B74" s="412"/>
      <c r="C74" s="412" t="s">
        <v>139</v>
      </c>
      <c r="D74" s="412"/>
      <c r="E74" s="440">
        <v>78387943779</v>
      </c>
      <c r="F74" s="440">
        <v>91247215940</v>
      </c>
      <c r="G74" s="440">
        <v>104943751400</v>
      </c>
      <c r="H74" s="440">
        <v>109858794952</v>
      </c>
      <c r="I74" s="440">
        <v>94060594317</v>
      </c>
      <c r="J74" s="440">
        <v>134916523801</v>
      </c>
      <c r="K74" s="440">
        <v>127118944564</v>
      </c>
      <c r="L74" s="440">
        <v>107683328347</v>
      </c>
      <c r="M74" s="440">
        <v>89767429763</v>
      </c>
      <c r="N74" s="440">
        <v>97388354786</v>
      </c>
    </row>
    <row r="75" spans="1:14" outlineLevel="2">
      <c r="A75" s="412" t="s">
        <v>140</v>
      </c>
      <c r="B75" s="412"/>
      <c r="C75" s="412" t="s">
        <v>141</v>
      </c>
      <c r="D75" s="412"/>
      <c r="E75" s="440">
        <v>1982355184</v>
      </c>
      <c r="F75" s="440">
        <v>2719770338</v>
      </c>
      <c r="G75" s="440">
        <v>3624574418</v>
      </c>
      <c r="H75" s="440">
        <v>2967706530</v>
      </c>
      <c r="I75" s="440">
        <v>3759055671</v>
      </c>
      <c r="J75" s="440">
        <v>4760128612</v>
      </c>
      <c r="K75" s="440">
        <v>7706809253</v>
      </c>
      <c r="L75" s="440">
        <v>4173913884</v>
      </c>
      <c r="M75" s="440">
        <v>5455353341</v>
      </c>
      <c r="N75" s="440">
        <v>5061564575</v>
      </c>
    </row>
    <row r="76" spans="1:14" outlineLevel="2">
      <c r="A76" s="412" t="s">
        <v>142</v>
      </c>
      <c r="B76" s="412"/>
      <c r="C76" s="412" t="s">
        <v>143</v>
      </c>
      <c r="D76" s="412"/>
      <c r="E76" s="440">
        <v>19438057812</v>
      </c>
      <c r="F76" s="440">
        <v>32210341382</v>
      </c>
      <c r="G76" s="440">
        <v>35863269097</v>
      </c>
      <c r="H76" s="440">
        <v>29317673914</v>
      </c>
      <c r="I76" s="440">
        <v>29411039592</v>
      </c>
      <c r="J76" s="440">
        <v>28414434462</v>
      </c>
      <c r="K76" s="440">
        <v>44004958272</v>
      </c>
      <c r="L76" s="440">
        <v>47069114487</v>
      </c>
      <c r="M76" s="440">
        <v>41920596516</v>
      </c>
      <c r="N76" s="440">
        <v>63218719657</v>
      </c>
    </row>
    <row r="77" spans="1:14" outlineLevel="2">
      <c r="A77" s="412" t="s">
        <v>144</v>
      </c>
      <c r="B77" s="412"/>
      <c r="C77" s="412" t="s">
        <v>145</v>
      </c>
      <c r="D77" s="412"/>
      <c r="E77" s="440">
        <v>32358391767</v>
      </c>
      <c r="F77" s="440">
        <v>40504721765</v>
      </c>
      <c r="G77" s="440">
        <v>59270156484</v>
      </c>
      <c r="H77" s="440">
        <v>63258523196</v>
      </c>
      <c r="I77" s="440">
        <v>43282954202</v>
      </c>
      <c r="J77" s="440">
        <v>47803633368</v>
      </c>
      <c r="K77" s="440">
        <v>70803673117</v>
      </c>
      <c r="L77" s="440">
        <v>70613349469</v>
      </c>
      <c r="M77" s="440">
        <v>46866808416</v>
      </c>
      <c r="N77" s="440">
        <v>74671223185</v>
      </c>
    </row>
    <row r="78" spans="1:14" outlineLevel="2">
      <c r="A78" s="412" t="s">
        <v>146</v>
      </c>
      <c r="B78" s="412"/>
      <c r="C78" s="412" t="s">
        <v>147</v>
      </c>
      <c r="D78" s="412"/>
      <c r="E78" s="440">
        <v>50272465344</v>
      </c>
      <c r="F78" s="440">
        <v>30307309802</v>
      </c>
      <c r="G78" s="440">
        <v>68641908980</v>
      </c>
      <c r="H78" s="440">
        <v>47416757022</v>
      </c>
      <c r="I78" s="440">
        <v>18359380766</v>
      </c>
      <c r="J78" s="440">
        <v>55669962473</v>
      </c>
      <c r="K78" s="440">
        <v>61909615269</v>
      </c>
      <c r="L78" s="440">
        <v>76697312158</v>
      </c>
      <c r="M78" s="440">
        <v>53854464578</v>
      </c>
      <c r="N78" s="440">
        <v>66191891691</v>
      </c>
    </row>
    <row r="79" spans="1:14" outlineLevel="2">
      <c r="A79" s="412" t="s">
        <v>148</v>
      </c>
      <c r="B79" s="412"/>
      <c r="C79" s="412" t="s">
        <v>149</v>
      </c>
      <c r="D79" s="412"/>
      <c r="E79" s="440">
        <v>0</v>
      </c>
      <c r="F79" s="440">
        <v>0</v>
      </c>
      <c r="G79" s="440">
        <v>0</v>
      </c>
      <c r="H79" s="440">
        <v>0</v>
      </c>
      <c r="I79" s="440">
        <v>0</v>
      </c>
      <c r="J79" s="440">
        <v>0</v>
      </c>
      <c r="K79" s="440">
        <v>0</v>
      </c>
      <c r="L79" s="440">
        <v>0</v>
      </c>
      <c r="M79" s="440">
        <v>0</v>
      </c>
      <c r="N79" s="440">
        <v>0</v>
      </c>
    </row>
    <row r="80" spans="1:14" outlineLevel="2">
      <c r="A80" s="412" t="s">
        <v>150</v>
      </c>
      <c r="B80" s="412"/>
      <c r="C80" s="412" t="s">
        <v>151</v>
      </c>
      <c r="D80" s="412"/>
      <c r="E80" s="440">
        <v>0</v>
      </c>
      <c r="F80" s="440">
        <v>0</v>
      </c>
      <c r="G80" s="440">
        <v>0</v>
      </c>
      <c r="H80" s="440">
        <v>0</v>
      </c>
      <c r="I80" s="440">
        <v>0</v>
      </c>
      <c r="J80" s="440">
        <v>0</v>
      </c>
      <c r="K80" s="440">
        <v>0</v>
      </c>
      <c r="L80" s="440">
        <v>0</v>
      </c>
      <c r="M80" s="440">
        <v>0</v>
      </c>
      <c r="N80" s="440">
        <v>0</v>
      </c>
    </row>
    <row r="81" spans="1:14" outlineLevel="2">
      <c r="A81" s="412" t="s">
        <v>152</v>
      </c>
      <c r="B81" s="412"/>
      <c r="C81" s="412" t="s">
        <v>153</v>
      </c>
      <c r="D81" s="412"/>
      <c r="E81" s="440">
        <v>0</v>
      </c>
      <c r="F81" s="440">
        <v>0</v>
      </c>
      <c r="G81" s="440">
        <v>0</v>
      </c>
      <c r="H81" s="440">
        <v>0</v>
      </c>
      <c r="I81" s="440">
        <v>31423266</v>
      </c>
      <c r="J81" s="440">
        <v>0</v>
      </c>
      <c r="K81" s="440">
        <v>0</v>
      </c>
      <c r="L81" s="440">
        <v>180748660</v>
      </c>
      <c r="M81" s="440">
        <v>72299470</v>
      </c>
      <c r="N81" s="440">
        <v>0</v>
      </c>
    </row>
    <row r="82" spans="1:14" outlineLevel="2">
      <c r="A82" s="412" t="s">
        <v>154</v>
      </c>
      <c r="B82" s="412"/>
      <c r="C82" s="412" t="s">
        <v>155</v>
      </c>
      <c r="D82" s="412"/>
      <c r="E82" s="440">
        <v>246546943157</v>
      </c>
      <c r="F82" s="440">
        <v>16415237678</v>
      </c>
      <c r="G82" s="440">
        <v>17100877943</v>
      </c>
      <c r="H82" s="440">
        <v>14271499464</v>
      </c>
      <c r="I82" s="440">
        <v>33305690287</v>
      </c>
      <c r="J82" s="440">
        <v>19898590726</v>
      </c>
      <c r="K82" s="440">
        <v>113354446374</v>
      </c>
      <c r="L82" s="440">
        <v>19916673963</v>
      </c>
      <c r="M82" s="440">
        <v>122195670577</v>
      </c>
      <c r="N82" s="440">
        <v>166622462474</v>
      </c>
    </row>
    <row r="83" spans="1:14" outlineLevel="2">
      <c r="A83" s="412" t="s">
        <v>156</v>
      </c>
      <c r="B83" s="412"/>
      <c r="C83" s="412" t="s">
        <v>157</v>
      </c>
      <c r="D83" s="412"/>
      <c r="E83" s="440">
        <v>208400000000</v>
      </c>
      <c r="F83" s="440">
        <v>239548808622</v>
      </c>
      <c r="G83" s="440">
        <v>154772733547</v>
      </c>
      <c r="H83" s="440">
        <v>118929027432</v>
      </c>
      <c r="I83" s="440">
        <v>203164088412</v>
      </c>
      <c r="J83" s="440">
        <v>6150337004</v>
      </c>
      <c r="K83" s="440">
        <v>442429077057</v>
      </c>
      <c r="L83" s="440">
        <v>299753683804</v>
      </c>
      <c r="M83" s="440">
        <v>343247465814</v>
      </c>
      <c r="N83" s="440">
        <v>867327186776</v>
      </c>
    </row>
    <row r="84" spans="1:14" outlineLevel="2">
      <c r="A84" s="412" t="s">
        <v>158</v>
      </c>
      <c r="B84" s="412"/>
      <c r="C84" s="412" t="s">
        <v>159</v>
      </c>
      <c r="D84" s="412"/>
      <c r="E84" s="440">
        <v>0</v>
      </c>
      <c r="F84" s="440">
        <v>0</v>
      </c>
      <c r="G84" s="440">
        <v>18000000</v>
      </c>
      <c r="H84" s="440">
        <v>0</v>
      </c>
      <c r="I84" s="440">
        <v>0</v>
      </c>
      <c r="J84" s="440">
        <v>32000000000</v>
      </c>
      <c r="K84" s="440">
        <v>56456500000</v>
      </c>
      <c r="L84" s="440">
        <v>76036500000</v>
      </c>
      <c r="M84" s="440">
        <v>76216500000</v>
      </c>
      <c r="N84" s="440">
        <v>76582025000</v>
      </c>
    </row>
    <row r="85" spans="1:14" outlineLevel="2">
      <c r="A85" s="412" t="s">
        <v>160</v>
      </c>
      <c r="B85" s="412"/>
      <c r="C85" s="412" t="s">
        <v>161</v>
      </c>
      <c r="D85" s="412"/>
      <c r="E85" s="440">
        <v>9906040821</v>
      </c>
      <c r="F85" s="440">
        <v>22172796374</v>
      </c>
      <c r="G85" s="440">
        <v>16299132374</v>
      </c>
      <c r="H85" s="440">
        <v>13957139495</v>
      </c>
      <c r="I85" s="440">
        <v>12335883982</v>
      </c>
      <c r="J85" s="440">
        <v>21784031035</v>
      </c>
      <c r="K85" s="440">
        <v>15018820336</v>
      </c>
      <c r="L85" s="440">
        <v>12896498933</v>
      </c>
      <c r="M85" s="440">
        <v>9339698633</v>
      </c>
      <c r="N85" s="440">
        <v>26526428633</v>
      </c>
    </row>
    <row r="86" spans="1:14" outlineLevel="2">
      <c r="A86" s="412" t="s">
        <v>162</v>
      </c>
      <c r="B86" s="412"/>
      <c r="C86" s="412" t="s">
        <v>163</v>
      </c>
      <c r="D86" s="412"/>
      <c r="E86" s="440">
        <v>0</v>
      </c>
      <c r="F86" s="440">
        <v>0</v>
      </c>
      <c r="G86" s="440">
        <v>0</v>
      </c>
      <c r="H86" s="440">
        <v>0</v>
      </c>
      <c r="I86" s="440">
        <v>0</v>
      </c>
      <c r="J86" s="440">
        <v>0</v>
      </c>
      <c r="K86" s="440">
        <v>0</v>
      </c>
      <c r="L86" s="440">
        <v>0</v>
      </c>
      <c r="M86" s="440">
        <v>0</v>
      </c>
      <c r="N86" s="440">
        <v>0</v>
      </c>
    </row>
    <row r="87" spans="1:14" outlineLevel="2">
      <c r="A87" s="412" t="s">
        <v>56</v>
      </c>
      <c r="B87" s="412"/>
      <c r="C87" s="412" t="s">
        <v>57</v>
      </c>
      <c r="D87" s="412"/>
      <c r="E87" s="440">
        <v>0</v>
      </c>
      <c r="F87" s="440">
        <v>0</v>
      </c>
      <c r="G87" s="440">
        <v>0</v>
      </c>
      <c r="H87" s="440">
        <v>0</v>
      </c>
      <c r="I87" s="440">
        <v>0</v>
      </c>
      <c r="J87" s="440">
        <v>0</v>
      </c>
      <c r="K87" s="440">
        <v>0</v>
      </c>
      <c r="L87" s="440">
        <v>0</v>
      </c>
      <c r="M87" s="440">
        <v>0</v>
      </c>
      <c r="N87" s="440">
        <v>0</v>
      </c>
    </row>
    <row r="88" spans="1:14" outlineLevel="1">
      <c r="A88" s="417" t="s">
        <v>164</v>
      </c>
      <c r="B88" s="417"/>
      <c r="C88" s="417" t="s">
        <v>165</v>
      </c>
      <c r="D88" s="417"/>
      <c r="E88" s="444">
        <v>731893339866</v>
      </c>
      <c r="F88" s="444">
        <v>1491656689417</v>
      </c>
      <c r="G88" s="444">
        <v>1488005427701</v>
      </c>
      <c r="H88" s="444">
        <v>1489753187742</v>
      </c>
      <c r="I88" s="444">
        <v>1559563083870</v>
      </c>
      <c r="J88" s="444">
        <v>1481754701400</v>
      </c>
      <c r="K88" s="444">
        <v>1774216103372</v>
      </c>
      <c r="L88" s="444">
        <v>2183992752552</v>
      </c>
      <c r="M88" s="444">
        <v>2298948420471</v>
      </c>
      <c r="N88" s="444">
        <v>2261380490103</v>
      </c>
    </row>
    <row r="89" spans="1:14" outlineLevel="2">
      <c r="A89" s="412" t="s">
        <v>166</v>
      </c>
      <c r="B89" s="412"/>
      <c r="C89" s="412" t="s">
        <v>167</v>
      </c>
      <c r="D89" s="412"/>
      <c r="E89" s="440">
        <v>0</v>
      </c>
      <c r="F89" s="440">
        <v>0</v>
      </c>
      <c r="G89" s="440">
        <v>0</v>
      </c>
      <c r="H89" s="440">
        <v>0</v>
      </c>
      <c r="I89" s="440">
        <v>0</v>
      </c>
      <c r="J89" s="440">
        <v>0</v>
      </c>
      <c r="K89" s="440">
        <v>0</v>
      </c>
      <c r="L89" s="440">
        <v>0</v>
      </c>
      <c r="M89" s="440">
        <v>0</v>
      </c>
      <c r="N89" s="440">
        <v>0</v>
      </c>
    </row>
    <row r="90" spans="1:14" outlineLevel="2">
      <c r="A90" s="412" t="s">
        <v>168</v>
      </c>
      <c r="B90" s="412"/>
      <c r="C90" s="412" t="s">
        <v>169</v>
      </c>
      <c r="D90" s="412"/>
      <c r="E90" s="440">
        <v>0</v>
      </c>
      <c r="F90" s="440">
        <v>0</v>
      </c>
      <c r="G90" s="440">
        <v>0</v>
      </c>
      <c r="H90" s="440">
        <v>0</v>
      </c>
      <c r="I90" s="440">
        <v>0</v>
      </c>
      <c r="J90" s="440">
        <v>0</v>
      </c>
      <c r="K90" s="440">
        <v>0</v>
      </c>
      <c r="L90" s="440">
        <v>0</v>
      </c>
      <c r="M90" s="440">
        <v>0</v>
      </c>
      <c r="N90" s="440">
        <v>0</v>
      </c>
    </row>
    <row r="91" spans="1:14" outlineLevel="2">
      <c r="A91" s="412" t="s">
        <v>170</v>
      </c>
      <c r="B91" s="412"/>
      <c r="C91" s="412" t="s">
        <v>171</v>
      </c>
      <c r="D91" s="412"/>
      <c r="E91" s="440">
        <v>0</v>
      </c>
      <c r="F91" s="440">
        <v>12350684932</v>
      </c>
      <c r="G91" s="440">
        <v>37052054795</v>
      </c>
      <c r="H91" s="440">
        <v>8502467705</v>
      </c>
      <c r="I91" s="440">
        <v>60093118301</v>
      </c>
      <c r="J91" s="440">
        <v>0</v>
      </c>
      <c r="K91" s="440">
        <v>0</v>
      </c>
      <c r="L91" s="440">
        <v>0</v>
      </c>
      <c r="M91" s="440">
        <v>0</v>
      </c>
      <c r="N91" s="440">
        <v>0</v>
      </c>
    </row>
    <row r="92" spans="1:14" ht="28.8" outlineLevel="2">
      <c r="A92" s="412" t="s">
        <v>172</v>
      </c>
      <c r="B92" s="412"/>
      <c r="C92" s="412" t="s">
        <v>173</v>
      </c>
      <c r="D92" s="412"/>
      <c r="E92" s="440">
        <v>0</v>
      </c>
      <c r="F92" s="440">
        <v>0</v>
      </c>
      <c r="G92" s="440">
        <v>0</v>
      </c>
      <c r="H92" s="440">
        <v>0</v>
      </c>
      <c r="I92" s="440">
        <v>0</v>
      </c>
      <c r="J92" s="440">
        <v>0</v>
      </c>
      <c r="K92" s="440">
        <v>0</v>
      </c>
      <c r="L92" s="440">
        <v>0</v>
      </c>
      <c r="M92" s="440">
        <v>0</v>
      </c>
      <c r="N92" s="440">
        <v>0</v>
      </c>
    </row>
    <row r="93" spans="1:14" outlineLevel="2">
      <c r="A93" s="412" t="s">
        <v>174</v>
      </c>
      <c r="B93" s="412"/>
      <c r="C93" s="412" t="s">
        <v>175</v>
      </c>
      <c r="D93" s="412"/>
      <c r="E93" s="440">
        <v>0</v>
      </c>
      <c r="F93" s="440">
        <v>0</v>
      </c>
      <c r="G93" s="440">
        <v>0</v>
      </c>
      <c r="H93" s="440">
        <v>0</v>
      </c>
      <c r="I93" s="440">
        <v>0</v>
      </c>
      <c r="J93" s="440">
        <v>0</v>
      </c>
      <c r="K93" s="440">
        <v>0</v>
      </c>
      <c r="L93" s="440">
        <v>0</v>
      </c>
      <c r="M93" s="440">
        <v>0</v>
      </c>
      <c r="N93" s="440">
        <v>0</v>
      </c>
    </row>
    <row r="94" spans="1:14" outlineLevel="2">
      <c r="A94" s="412" t="s">
        <v>176</v>
      </c>
      <c r="B94" s="412"/>
      <c r="C94" s="412" t="s">
        <v>177</v>
      </c>
      <c r="D94" s="412"/>
      <c r="E94" s="440">
        <v>0</v>
      </c>
      <c r="F94" s="440">
        <v>0</v>
      </c>
      <c r="G94" s="440">
        <v>0</v>
      </c>
      <c r="H94" s="440">
        <v>0</v>
      </c>
      <c r="I94" s="440">
        <v>0</v>
      </c>
      <c r="J94" s="440">
        <v>0</v>
      </c>
      <c r="K94" s="440">
        <v>289197850</v>
      </c>
      <c r="L94" s="440">
        <v>0</v>
      </c>
      <c r="M94" s="440">
        <v>0</v>
      </c>
      <c r="N94" s="440">
        <v>0</v>
      </c>
    </row>
    <row r="95" spans="1:14" outlineLevel="2">
      <c r="A95" s="412" t="s">
        <v>178</v>
      </c>
      <c r="B95" s="412"/>
      <c r="C95" s="412" t="s">
        <v>179</v>
      </c>
      <c r="D95" s="412"/>
      <c r="E95" s="440">
        <v>30000000</v>
      </c>
      <c r="F95" s="440">
        <v>214800000</v>
      </c>
      <c r="G95" s="440">
        <v>914800000</v>
      </c>
      <c r="H95" s="440">
        <v>1607000000</v>
      </c>
      <c r="I95" s="440">
        <v>1867400000</v>
      </c>
      <c r="J95" s="440">
        <v>2063400000</v>
      </c>
      <c r="K95" s="440">
        <v>1855400000</v>
      </c>
      <c r="L95" s="440">
        <v>785400000</v>
      </c>
      <c r="M95" s="440">
        <v>606400000</v>
      </c>
      <c r="N95" s="440">
        <v>1758625000</v>
      </c>
    </row>
    <row r="96" spans="1:14" outlineLevel="2">
      <c r="A96" s="412" t="s">
        <v>180</v>
      </c>
      <c r="B96" s="412"/>
      <c r="C96" s="412" t="s">
        <v>181</v>
      </c>
      <c r="D96" s="412"/>
      <c r="E96" s="440">
        <v>700000000000</v>
      </c>
      <c r="F96" s="440">
        <v>1447550670512</v>
      </c>
      <c r="G96" s="440">
        <v>1418498038933</v>
      </c>
      <c r="H96" s="440">
        <v>1446054810383</v>
      </c>
      <c r="I96" s="440">
        <v>1464362405915</v>
      </c>
      <c r="J96" s="440">
        <v>1446673844508</v>
      </c>
      <c r="K96" s="440">
        <v>1739613698630</v>
      </c>
      <c r="L96" s="440">
        <v>1650298938156</v>
      </c>
      <c r="M96" s="440">
        <v>1772000000000</v>
      </c>
      <c r="N96" s="440">
        <v>1741021574723</v>
      </c>
    </row>
    <row r="97" spans="1:14" outlineLevel="2">
      <c r="A97" s="412" t="s">
        <v>182</v>
      </c>
      <c r="B97" s="412"/>
      <c r="C97" s="412" t="s">
        <v>183</v>
      </c>
      <c r="D97" s="412"/>
      <c r="E97" s="440">
        <v>0</v>
      </c>
      <c r="F97" s="440">
        <v>0</v>
      </c>
      <c r="G97" s="440">
        <v>0</v>
      </c>
      <c r="H97" s="440">
        <v>0</v>
      </c>
      <c r="I97" s="440">
        <v>0</v>
      </c>
      <c r="J97" s="440">
        <v>0</v>
      </c>
      <c r="K97" s="440">
        <v>0</v>
      </c>
      <c r="L97" s="440">
        <v>0</v>
      </c>
      <c r="M97" s="440">
        <v>0</v>
      </c>
      <c r="N97" s="440">
        <v>0</v>
      </c>
    </row>
    <row r="98" spans="1:14" outlineLevel="2">
      <c r="A98" s="412" t="s">
        <v>184</v>
      </c>
      <c r="B98" s="412"/>
      <c r="C98" s="412" t="s">
        <v>185</v>
      </c>
      <c r="D98" s="412"/>
      <c r="E98" s="440"/>
      <c r="F98" s="440"/>
      <c r="G98" s="440"/>
      <c r="H98" s="440"/>
      <c r="I98" s="440"/>
      <c r="J98" s="440"/>
      <c r="K98" s="440"/>
      <c r="L98" s="440"/>
      <c r="M98" s="440"/>
      <c r="N98" s="440"/>
    </row>
    <row r="99" spans="1:14" outlineLevel="2">
      <c r="A99" s="412" t="s">
        <v>186</v>
      </c>
      <c r="B99" s="412"/>
      <c r="C99" s="412" t="s">
        <v>187</v>
      </c>
      <c r="D99" s="412"/>
      <c r="E99" s="440">
        <v>30858278235</v>
      </c>
      <c r="F99" s="440">
        <v>30635575473</v>
      </c>
      <c r="G99" s="440">
        <v>30635575473</v>
      </c>
      <c r="H99" s="440">
        <v>30412872712</v>
      </c>
      <c r="I99" s="440">
        <v>30412872712</v>
      </c>
      <c r="J99" s="440">
        <v>30190169950</v>
      </c>
      <c r="K99" s="440">
        <v>30190169950</v>
      </c>
      <c r="L99" s="440">
        <v>530378777454</v>
      </c>
      <c r="M99" s="440">
        <v>524109383529</v>
      </c>
      <c r="N99" s="440">
        <v>517134453438</v>
      </c>
    </row>
    <row r="100" spans="1:14" outlineLevel="2">
      <c r="A100" s="412" t="s">
        <v>188</v>
      </c>
      <c r="B100" s="412"/>
      <c r="C100" s="412" t="s">
        <v>189</v>
      </c>
      <c r="D100" s="412"/>
      <c r="E100" s="440">
        <v>0</v>
      </c>
      <c r="F100" s="440">
        <v>0</v>
      </c>
      <c r="G100" s="440">
        <v>0</v>
      </c>
      <c r="H100" s="440">
        <v>0</v>
      </c>
      <c r="I100" s="440">
        <v>0</v>
      </c>
      <c r="J100" s="440">
        <v>0</v>
      </c>
      <c r="K100" s="440">
        <v>0</v>
      </c>
      <c r="L100" s="440">
        <v>0</v>
      </c>
      <c r="M100" s="440">
        <v>0</v>
      </c>
      <c r="N100" s="440">
        <v>0</v>
      </c>
    </row>
    <row r="101" spans="1:14" outlineLevel="2">
      <c r="A101" s="412" t="s">
        <v>190</v>
      </c>
      <c r="B101" s="412"/>
      <c r="C101" s="412" t="s">
        <v>191</v>
      </c>
      <c r="D101" s="412"/>
      <c r="E101" s="440">
        <v>1005061631</v>
      </c>
      <c r="F101" s="440">
        <v>904958500</v>
      </c>
      <c r="G101" s="440">
        <v>904958500</v>
      </c>
      <c r="H101" s="440">
        <v>3176036942</v>
      </c>
      <c r="I101" s="440">
        <v>2827286942</v>
      </c>
      <c r="J101" s="440">
        <v>2827286942</v>
      </c>
      <c r="K101" s="440">
        <v>2267636942</v>
      </c>
      <c r="L101" s="440">
        <v>2529636942</v>
      </c>
      <c r="M101" s="440">
        <v>2232636942</v>
      </c>
      <c r="N101" s="440">
        <v>1465836942</v>
      </c>
    </row>
    <row r="102" spans="1:14" outlineLevel="2">
      <c r="A102" s="412" t="s">
        <v>192</v>
      </c>
      <c r="B102" s="412"/>
      <c r="C102" s="412" t="s">
        <v>193</v>
      </c>
      <c r="D102" s="412"/>
      <c r="E102" s="440">
        <v>0</v>
      </c>
      <c r="F102" s="440">
        <v>0</v>
      </c>
      <c r="G102" s="440">
        <v>0</v>
      </c>
      <c r="H102" s="440">
        <v>0</v>
      </c>
      <c r="I102" s="440">
        <v>0</v>
      </c>
      <c r="J102" s="440">
        <v>0</v>
      </c>
      <c r="K102" s="440">
        <v>0</v>
      </c>
      <c r="L102" s="440">
        <v>0</v>
      </c>
      <c r="M102" s="440">
        <v>0</v>
      </c>
      <c r="N102" s="440">
        <v>0</v>
      </c>
    </row>
    <row r="103" spans="1:14">
      <c r="A103" s="420" t="s">
        <v>194</v>
      </c>
      <c r="B103" s="420"/>
      <c r="C103" s="420" t="s">
        <v>195</v>
      </c>
      <c r="D103" s="420"/>
      <c r="E103" s="445">
        <v>3041381520419</v>
      </c>
      <c r="F103" s="445">
        <v>3173978566040</v>
      </c>
      <c r="G103" s="445">
        <v>3222730828695</v>
      </c>
      <c r="H103" s="445">
        <v>3296823080450</v>
      </c>
      <c r="I103" s="445">
        <v>3336799929686</v>
      </c>
      <c r="J103" s="445">
        <v>4655479522764</v>
      </c>
      <c r="K103" s="445">
        <v>4598804958115</v>
      </c>
      <c r="L103" s="445">
        <v>4896115718281</v>
      </c>
      <c r="M103" s="445">
        <v>5124410473113</v>
      </c>
      <c r="N103" s="445">
        <v>5070117701416</v>
      </c>
    </row>
    <row r="104" spans="1:14" outlineLevel="1">
      <c r="A104" s="412" t="s">
        <v>196</v>
      </c>
      <c r="B104" s="412"/>
      <c r="C104" s="412" t="s">
        <v>197</v>
      </c>
      <c r="D104" s="412"/>
      <c r="E104" s="440">
        <v>3041381520419</v>
      </c>
      <c r="F104" s="440">
        <v>3173978566040</v>
      </c>
      <c r="G104" s="440">
        <v>3222730828695</v>
      </c>
      <c r="H104" s="440">
        <v>3296823080450</v>
      </c>
      <c r="I104" s="440">
        <v>3336799929686</v>
      </c>
      <c r="J104" s="440">
        <v>4655479522764</v>
      </c>
      <c r="K104" s="440">
        <v>4598804958115</v>
      </c>
      <c r="L104" s="440">
        <v>4896115718281</v>
      </c>
      <c r="M104" s="440">
        <v>5124410473113</v>
      </c>
      <c r="N104" s="440">
        <v>5070117701416</v>
      </c>
    </row>
    <row r="105" spans="1:14" outlineLevel="2">
      <c r="A105" s="412" t="s">
        <v>198</v>
      </c>
      <c r="B105" s="412"/>
      <c r="C105" s="412" t="s">
        <v>199</v>
      </c>
      <c r="D105" s="412"/>
      <c r="E105" s="440">
        <v>1212693970000</v>
      </c>
      <c r="F105" s="440">
        <v>1212693970000</v>
      </c>
      <c r="G105" s="440">
        <v>1333956420000</v>
      </c>
      <c r="H105" s="440">
        <v>1333956420000</v>
      </c>
      <c r="I105" s="440">
        <v>1333956420000</v>
      </c>
      <c r="J105" s="440">
        <v>2667912840000</v>
      </c>
      <c r="K105" s="440">
        <v>2867968190000</v>
      </c>
      <c r="L105" s="440">
        <v>2867968190000</v>
      </c>
      <c r="M105" s="440">
        <v>2995008190000</v>
      </c>
      <c r="N105" s="440">
        <v>3743703620000</v>
      </c>
    </row>
    <row r="106" spans="1:14" outlineLevel="3">
      <c r="A106" s="412" t="s">
        <v>200</v>
      </c>
      <c r="B106" s="412"/>
      <c r="C106" s="412" t="s">
        <v>201</v>
      </c>
      <c r="D106" s="412"/>
      <c r="E106" s="440">
        <v>1212693970000</v>
      </c>
      <c r="F106" s="440">
        <v>1212693970000</v>
      </c>
      <c r="G106" s="440">
        <v>1333956420000</v>
      </c>
      <c r="H106" s="440">
        <v>1333956420000</v>
      </c>
      <c r="I106" s="440">
        <v>1333956420000</v>
      </c>
      <c r="J106" s="440">
        <v>2667912840000</v>
      </c>
      <c r="K106" s="440">
        <v>2867968190000</v>
      </c>
      <c r="L106" s="440">
        <v>2867968190000</v>
      </c>
      <c r="M106" s="440">
        <v>2995008190000</v>
      </c>
      <c r="N106" s="440">
        <v>3743703620000</v>
      </c>
    </row>
    <row r="107" spans="1:14" outlineLevel="3">
      <c r="A107" s="412" t="s">
        <v>202</v>
      </c>
      <c r="B107" s="412"/>
      <c r="C107" s="412" t="s">
        <v>203</v>
      </c>
      <c r="D107" s="412"/>
      <c r="E107" s="440">
        <v>0</v>
      </c>
      <c r="F107" s="440">
        <v>0</v>
      </c>
      <c r="G107" s="440">
        <v>0</v>
      </c>
      <c r="H107" s="440">
        <v>0</v>
      </c>
      <c r="I107" s="440">
        <v>0</v>
      </c>
      <c r="J107" s="440">
        <v>0</v>
      </c>
      <c r="K107" s="440">
        <v>0</v>
      </c>
      <c r="L107" s="440">
        <v>0</v>
      </c>
      <c r="M107" s="440">
        <v>0</v>
      </c>
      <c r="N107" s="440">
        <v>0</v>
      </c>
    </row>
    <row r="108" spans="1:14" outlineLevel="2">
      <c r="A108" s="412" t="s">
        <v>204</v>
      </c>
      <c r="B108" s="412"/>
      <c r="C108" s="412" t="s">
        <v>205</v>
      </c>
      <c r="D108" s="412"/>
      <c r="E108" s="440">
        <v>39403521246</v>
      </c>
      <c r="F108" s="440">
        <v>39403521246</v>
      </c>
      <c r="G108" s="440">
        <v>39403521246</v>
      </c>
      <c r="H108" s="440">
        <v>39403521246</v>
      </c>
      <c r="I108" s="440">
        <v>39403521246</v>
      </c>
      <c r="J108" s="440">
        <v>39403521246</v>
      </c>
      <c r="K108" s="440">
        <v>39497521246</v>
      </c>
      <c r="L108" s="440">
        <v>39497521246</v>
      </c>
      <c r="M108" s="440">
        <v>39497521246</v>
      </c>
      <c r="N108" s="440">
        <v>94000000</v>
      </c>
    </row>
    <row r="109" spans="1:14" outlineLevel="2">
      <c r="A109" s="412" t="s">
        <v>206</v>
      </c>
      <c r="B109" s="412"/>
      <c r="C109" s="412" t="s">
        <v>207</v>
      </c>
      <c r="D109" s="412"/>
      <c r="E109" s="440">
        <v>0</v>
      </c>
      <c r="F109" s="440">
        <v>0</v>
      </c>
      <c r="G109" s="440">
        <v>0</v>
      </c>
      <c r="H109" s="440">
        <v>0</v>
      </c>
      <c r="I109" s="440">
        <v>0</v>
      </c>
      <c r="J109" s="440">
        <v>0</v>
      </c>
      <c r="K109" s="440">
        <v>0</v>
      </c>
      <c r="L109" s="440">
        <v>0</v>
      </c>
      <c r="M109" s="440">
        <v>0</v>
      </c>
      <c r="N109" s="440">
        <v>0</v>
      </c>
    </row>
    <row r="110" spans="1:14" outlineLevel="2">
      <c r="A110" s="412" t="s">
        <v>208</v>
      </c>
      <c r="B110" s="412"/>
      <c r="C110" s="412" t="s">
        <v>209</v>
      </c>
      <c r="D110" s="412"/>
      <c r="E110" s="440">
        <v>0</v>
      </c>
      <c r="F110" s="440">
        <v>1382700000</v>
      </c>
      <c r="G110" s="440">
        <v>0</v>
      </c>
      <c r="H110" s="440">
        <v>0</v>
      </c>
      <c r="I110" s="440">
        <v>1382700000</v>
      </c>
      <c r="J110" s="440">
        <v>1382700000</v>
      </c>
      <c r="K110" s="440">
        <v>1382700000</v>
      </c>
      <c r="L110" s="440">
        <v>1382700000</v>
      </c>
      <c r="M110" s="440">
        <v>1382700000</v>
      </c>
      <c r="N110" s="440">
        <v>1382700000</v>
      </c>
    </row>
    <row r="111" spans="1:14" outlineLevel="2">
      <c r="A111" s="412" t="s">
        <v>210</v>
      </c>
      <c r="B111" s="412"/>
      <c r="C111" s="412" t="s">
        <v>211</v>
      </c>
      <c r="D111" s="412"/>
      <c r="E111" s="440">
        <v>0</v>
      </c>
      <c r="F111" s="440">
        <v>0</v>
      </c>
      <c r="G111" s="440">
        <v>0</v>
      </c>
      <c r="H111" s="440">
        <v>0</v>
      </c>
      <c r="I111" s="440">
        <v>0</v>
      </c>
      <c r="J111" s="440">
        <v>0</v>
      </c>
      <c r="K111" s="440">
        <v>0</v>
      </c>
      <c r="L111" s="440">
        <v>0</v>
      </c>
      <c r="M111" s="440">
        <v>0</v>
      </c>
      <c r="N111" s="440">
        <v>0</v>
      </c>
    </row>
    <row r="112" spans="1:14" outlineLevel="2">
      <c r="A112" s="412" t="s">
        <v>212</v>
      </c>
      <c r="B112" s="412"/>
      <c r="C112" s="412" t="s">
        <v>213</v>
      </c>
      <c r="D112" s="412"/>
      <c r="E112" s="440">
        <v>0</v>
      </c>
      <c r="F112" s="440">
        <v>0</v>
      </c>
      <c r="G112" s="440">
        <v>0</v>
      </c>
      <c r="H112" s="440">
        <v>0</v>
      </c>
      <c r="I112" s="440">
        <v>0</v>
      </c>
      <c r="J112" s="440">
        <v>0</v>
      </c>
      <c r="K112" s="440">
        <v>0</v>
      </c>
      <c r="L112" s="440">
        <v>0</v>
      </c>
      <c r="M112" s="440">
        <v>0</v>
      </c>
      <c r="N112" s="440">
        <v>0</v>
      </c>
    </row>
    <row r="113" spans="1:14" outlineLevel="2">
      <c r="A113" s="412" t="s">
        <v>214</v>
      </c>
      <c r="B113" s="412"/>
      <c r="C113" s="412" t="s">
        <v>215</v>
      </c>
      <c r="D113" s="412"/>
      <c r="E113" s="440">
        <v>0</v>
      </c>
      <c r="F113" s="440">
        <v>0</v>
      </c>
      <c r="G113" s="440">
        <v>7465310</v>
      </c>
      <c r="H113" s="440">
        <v>0</v>
      </c>
      <c r="I113" s="440">
        <v>0</v>
      </c>
      <c r="J113" s="440">
        <v>0</v>
      </c>
      <c r="K113" s="440">
        <v>0</v>
      </c>
      <c r="L113" s="440">
        <v>0</v>
      </c>
      <c r="M113" s="440">
        <v>0</v>
      </c>
      <c r="N113" s="440">
        <v>0</v>
      </c>
    </row>
    <row r="114" spans="1:14" outlineLevel="2">
      <c r="A114" s="412" t="s">
        <v>216</v>
      </c>
      <c r="B114" s="412"/>
      <c r="C114" s="412" t="s">
        <v>217</v>
      </c>
      <c r="D114" s="412"/>
      <c r="E114" s="440">
        <v>875542995447</v>
      </c>
      <c r="F114" s="440">
        <v>886626243776</v>
      </c>
      <c r="G114" s="440">
        <v>886626243776</v>
      </c>
      <c r="H114" s="440">
        <v>886626243776</v>
      </c>
      <c r="I114" s="440">
        <v>886747422432</v>
      </c>
      <c r="J114" s="440">
        <v>892644137680</v>
      </c>
      <c r="K114" s="440">
        <v>892644137680</v>
      </c>
      <c r="L114" s="440">
        <v>892644137680</v>
      </c>
      <c r="M114" s="440">
        <v>894797062448</v>
      </c>
      <c r="N114" s="440">
        <v>275328463694</v>
      </c>
    </row>
    <row r="115" spans="1:14" outlineLevel="2">
      <c r="A115" s="412" t="s">
        <v>218</v>
      </c>
      <c r="B115" s="412"/>
      <c r="C115" s="412" t="s">
        <v>219</v>
      </c>
      <c r="D115" s="412"/>
      <c r="E115" s="440">
        <v>0</v>
      </c>
      <c r="F115" s="440">
        <v>0</v>
      </c>
      <c r="G115" s="440">
        <v>0</v>
      </c>
      <c r="H115" s="440">
        <v>0</v>
      </c>
      <c r="I115" s="440">
        <v>0</v>
      </c>
      <c r="J115" s="440">
        <v>0</v>
      </c>
      <c r="K115" s="440">
        <v>0</v>
      </c>
      <c r="L115" s="440">
        <v>0</v>
      </c>
      <c r="M115" s="440">
        <v>0</v>
      </c>
      <c r="N115" s="440">
        <v>0</v>
      </c>
    </row>
    <row r="116" spans="1:14" outlineLevel="2">
      <c r="A116" s="412" t="s">
        <v>220</v>
      </c>
      <c r="B116" s="412"/>
      <c r="C116" s="412" t="s">
        <v>221</v>
      </c>
      <c r="D116" s="412"/>
      <c r="E116" s="440">
        <v>0</v>
      </c>
      <c r="F116" s="440">
        <v>0</v>
      </c>
      <c r="G116" s="440">
        <v>0</v>
      </c>
      <c r="H116" s="440">
        <v>0</v>
      </c>
      <c r="I116" s="440">
        <v>0</v>
      </c>
      <c r="J116" s="440">
        <v>0</v>
      </c>
      <c r="K116" s="440">
        <v>0</v>
      </c>
      <c r="L116" s="440">
        <v>0</v>
      </c>
      <c r="M116" s="440">
        <v>0</v>
      </c>
      <c r="N116" s="440">
        <v>0</v>
      </c>
    </row>
    <row r="117" spans="1:14" outlineLevel="2">
      <c r="A117" s="412" t="s">
        <v>222</v>
      </c>
      <c r="B117" s="412"/>
      <c r="C117" s="412" t="s">
        <v>223</v>
      </c>
      <c r="D117" s="412"/>
      <c r="E117" s="440">
        <v>1382700000</v>
      </c>
      <c r="F117" s="440">
        <v>0</v>
      </c>
      <c r="G117" s="440">
        <v>1382700000</v>
      </c>
      <c r="H117" s="440">
        <v>1382700000</v>
      </c>
      <c r="I117" s="440">
        <v>0</v>
      </c>
      <c r="J117" s="440">
        <v>0</v>
      </c>
      <c r="K117" s="440">
        <v>0</v>
      </c>
      <c r="L117" s="440">
        <v>0</v>
      </c>
      <c r="M117" s="440">
        <v>0</v>
      </c>
      <c r="N117" s="440">
        <v>0</v>
      </c>
    </row>
    <row r="118" spans="1:14" outlineLevel="2">
      <c r="A118" s="412" t="s">
        <v>224</v>
      </c>
      <c r="B118" s="412"/>
      <c r="C118" s="412" t="s">
        <v>225</v>
      </c>
      <c r="D118" s="412"/>
      <c r="E118" s="440">
        <v>504176132958</v>
      </c>
      <c r="F118" s="440">
        <v>666505196883</v>
      </c>
      <c r="G118" s="440">
        <v>593949093269</v>
      </c>
      <c r="H118" s="440">
        <v>622551179705</v>
      </c>
      <c r="I118" s="440">
        <v>637250564022</v>
      </c>
      <c r="J118" s="440">
        <v>696259469616</v>
      </c>
      <c r="K118" s="440">
        <v>439379984719</v>
      </c>
      <c r="L118" s="440">
        <v>719517346868</v>
      </c>
      <c r="M118" s="440">
        <v>817753504684</v>
      </c>
      <c r="N118" s="440">
        <v>643920123345</v>
      </c>
    </row>
    <row r="119" spans="1:14" ht="28.8" outlineLevel="3">
      <c r="A119" s="412" t="s">
        <v>226</v>
      </c>
      <c r="B119" s="412"/>
      <c r="C119" s="412" t="s">
        <v>227</v>
      </c>
      <c r="D119" s="412"/>
      <c r="E119" s="440">
        <v>445843962254</v>
      </c>
      <c r="F119" s="440">
        <v>617674086986</v>
      </c>
      <c r="G119" s="440">
        <v>512586145786</v>
      </c>
      <c r="H119" s="440">
        <v>496411636986</v>
      </c>
      <c r="I119" s="440">
        <v>592447154670</v>
      </c>
      <c r="J119" s="440">
        <v>583456796734</v>
      </c>
      <c r="K119" s="440">
        <v>272695896260</v>
      </c>
      <c r="L119" s="440">
        <v>383357446734</v>
      </c>
      <c r="M119" s="440">
        <v>706547794266</v>
      </c>
      <c r="N119" s="440">
        <v>447043702600</v>
      </c>
    </row>
    <row r="120" spans="1:14" outlineLevel="3">
      <c r="A120" s="412" t="s">
        <v>228</v>
      </c>
      <c r="B120" s="412"/>
      <c r="C120" s="412" t="s">
        <v>229</v>
      </c>
      <c r="D120" s="412"/>
      <c r="E120" s="440">
        <v>58332170704</v>
      </c>
      <c r="F120" s="440">
        <v>48831109897</v>
      </c>
      <c r="G120" s="440">
        <v>81362947483</v>
      </c>
      <c r="H120" s="440">
        <v>126139542719</v>
      </c>
      <c r="I120" s="440">
        <v>44803409352</v>
      </c>
      <c r="J120" s="440">
        <v>112802672882</v>
      </c>
      <c r="K120" s="440">
        <v>166684088459</v>
      </c>
      <c r="L120" s="440">
        <v>336159900134</v>
      </c>
      <c r="M120" s="440">
        <v>111205710418</v>
      </c>
      <c r="N120" s="440">
        <v>196876420745</v>
      </c>
    </row>
    <row r="121" spans="1:14" outlineLevel="2">
      <c r="A121" s="412" t="s">
        <v>230</v>
      </c>
      <c r="B121" s="412"/>
      <c r="C121" s="412" t="s">
        <v>231</v>
      </c>
      <c r="D121" s="412"/>
      <c r="E121" s="440">
        <v>408182200768</v>
      </c>
      <c r="F121" s="440">
        <v>367366934135</v>
      </c>
      <c r="G121" s="440">
        <v>367405385094</v>
      </c>
      <c r="H121" s="440">
        <v>412903015723</v>
      </c>
      <c r="I121" s="440">
        <v>438059301986</v>
      </c>
      <c r="J121" s="440">
        <v>357876854222</v>
      </c>
      <c r="K121" s="440">
        <v>357932424470</v>
      </c>
      <c r="L121" s="440">
        <v>375105822487</v>
      </c>
      <c r="M121" s="440">
        <v>375971494735</v>
      </c>
      <c r="N121" s="440">
        <v>405688794377</v>
      </c>
    </row>
    <row r="122" spans="1:14" outlineLevel="1">
      <c r="A122" s="412" t="s">
        <v>232</v>
      </c>
      <c r="B122" s="412"/>
      <c r="C122" s="412" t="s">
        <v>233</v>
      </c>
      <c r="D122" s="412"/>
      <c r="E122" s="440">
        <v>0</v>
      </c>
      <c r="F122" s="440">
        <v>0</v>
      </c>
      <c r="G122" s="440">
        <v>0</v>
      </c>
      <c r="H122" s="440">
        <v>0</v>
      </c>
      <c r="I122" s="440">
        <v>0</v>
      </c>
      <c r="J122" s="440">
        <v>0</v>
      </c>
      <c r="K122" s="440">
        <v>0</v>
      </c>
      <c r="L122" s="440">
        <v>0</v>
      </c>
      <c r="M122" s="440">
        <v>0</v>
      </c>
      <c r="N122" s="440">
        <v>0</v>
      </c>
    </row>
    <row r="123" spans="1:14" outlineLevel="2">
      <c r="A123" s="412" t="s">
        <v>234</v>
      </c>
      <c r="B123" s="412"/>
      <c r="C123" s="412" t="s">
        <v>235</v>
      </c>
      <c r="D123" s="412"/>
      <c r="E123" s="440">
        <v>0</v>
      </c>
      <c r="F123" s="440">
        <v>0</v>
      </c>
      <c r="G123" s="440">
        <v>0</v>
      </c>
      <c r="H123" s="440">
        <v>0</v>
      </c>
      <c r="I123" s="440">
        <v>0</v>
      </c>
      <c r="J123" s="440">
        <v>0</v>
      </c>
      <c r="K123" s="440">
        <v>0</v>
      </c>
      <c r="L123" s="440">
        <v>0</v>
      </c>
      <c r="M123" s="440">
        <v>0</v>
      </c>
      <c r="N123" s="440">
        <v>0</v>
      </c>
    </row>
    <row r="124" spans="1:14" outlineLevel="2">
      <c r="A124" s="412" t="s">
        <v>236</v>
      </c>
      <c r="B124" s="412"/>
      <c r="C124" s="412" t="s">
        <v>237</v>
      </c>
      <c r="D124" s="412"/>
      <c r="E124" s="440">
        <v>0</v>
      </c>
      <c r="F124" s="440">
        <v>0</v>
      </c>
      <c r="G124" s="440">
        <v>0</v>
      </c>
      <c r="H124" s="440">
        <v>0</v>
      </c>
      <c r="I124" s="440">
        <v>0</v>
      </c>
      <c r="J124" s="440">
        <v>0</v>
      </c>
      <c r="K124" s="440">
        <v>0</v>
      </c>
      <c r="L124" s="440">
        <v>0</v>
      </c>
      <c r="M124" s="440">
        <v>0</v>
      </c>
      <c r="N124" s="440">
        <v>0</v>
      </c>
    </row>
    <row r="125" spans="1:14" outlineLevel="2">
      <c r="A125" s="412" t="s">
        <v>238</v>
      </c>
      <c r="B125" s="412"/>
      <c r="C125" s="412" t="s">
        <v>239</v>
      </c>
      <c r="D125" s="412"/>
      <c r="E125" s="440">
        <v>0</v>
      </c>
      <c r="F125" s="440">
        <v>0</v>
      </c>
      <c r="G125" s="440">
        <v>0</v>
      </c>
      <c r="H125" s="440">
        <v>0</v>
      </c>
      <c r="I125" s="440">
        <v>0</v>
      </c>
      <c r="J125" s="440">
        <v>0</v>
      </c>
      <c r="K125" s="440">
        <v>0</v>
      </c>
      <c r="L125" s="440">
        <v>0</v>
      </c>
      <c r="M125" s="440">
        <v>0</v>
      </c>
      <c r="N125" s="440">
        <v>0</v>
      </c>
    </row>
    <row r="126" spans="1:14">
      <c r="A126" s="422" t="s">
        <v>240</v>
      </c>
      <c r="B126" s="422"/>
      <c r="C126" s="422" t="s">
        <v>241</v>
      </c>
      <c r="D126" s="422"/>
      <c r="E126" s="446">
        <v>0</v>
      </c>
      <c r="F126" s="446">
        <v>0</v>
      </c>
      <c r="G126" s="446">
        <v>0</v>
      </c>
      <c r="H126" s="446">
        <v>0</v>
      </c>
      <c r="I126" s="446">
        <v>0</v>
      </c>
      <c r="J126" s="446">
        <v>0</v>
      </c>
      <c r="K126" s="446">
        <v>0</v>
      </c>
      <c r="L126" s="446">
        <v>0</v>
      </c>
      <c r="M126" s="446">
        <v>0</v>
      </c>
      <c r="N126" s="446">
        <v>0</v>
      </c>
    </row>
    <row r="127" spans="1:14">
      <c r="A127" s="424" t="s">
        <v>242</v>
      </c>
      <c r="B127" s="424"/>
      <c r="C127" s="424" t="s">
        <v>243</v>
      </c>
      <c r="D127" s="424"/>
      <c r="E127" s="444">
        <v>4420567058149</v>
      </c>
      <c r="F127" s="444">
        <v>5140761457358</v>
      </c>
      <c r="G127" s="444">
        <v>5171270660639</v>
      </c>
      <c r="H127" s="444">
        <v>5186553390197</v>
      </c>
      <c r="I127" s="444">
        <v>5334073124051</v>
      </c>
      <c r="J127" s="444">
        <v>6488631865645</v>
      </c>
      <c r="K127" s="444">
        <v>7311823905729</v>
      </c>
      <c r="L127" s="444">
        <v>7795129594538</v>
      </c>
      <c r="M127" s="444">
        <v>8212295180692</v>
      </c>
      <c r="N127" s="444">
        <v>8775088048296</v>
      </c>
    </row>
    <row r="128" spans="1:14">
      <c r="A128" s="402"/>
      <c r="B128" s="402"/>
      <c r="C128" s="402"/>
      <c r="D128" s="402"/>
      <c r="E128" s="403"/>
      <c r="F128" s="403"/>
      <c r="G128" s="403"/>
      <c r="H128" s="403"/>
      <c r="I128" s="403"/>
      <c r="J128" s="403"/>
      <c r="K128" s="403"/>
      <c r="L128" s="403"/>
      <c r="M128" s="403"/>
      <c r="N128" s="403"/>
    </row>
    <row r="129" spans="1:14">
      <c r="A129" s="447" t="s">
        <v>244</v>
      </c>
      <c r="B129" s="447"/>
      <c r="C129" s="447"/>
      <c r="D129" s="402"/>
      <c r="E129" s="403"/>
      <c r="F129" s="403"/>
      <c r="G129" s="403"/>
      <c r="H129" s="403"/>
      <c r="I129" s="403"/>
      <c r="J129" s="403"/>
      <c r="K129" s="403"/>
      <c r="L129" s="403"/>
      <c r="M129" s="403"/>
      <c r="N129" s="403"/>
    </row>
    <row r="130" spans="1:14">
      <c r="A130" s="425" t="s">
        <v>245</v>
      </c>
      <c r="B130" s="425"/>
      <c r="C130" s="425" t="s">
        <v>246</v>
      </c>
      <c r="D130" s="426"/>
      <c r="E130" s="427">
        <f>(E71-E127)</f>
        <v>0</v>
      </c>
      <c r="F130" s="427">
        <f t="shared" ref="F130" si="0">(F71-F127)</f>
        <v>0</v>
      </c>
      <c r="G130" s="427">
        <f t="shared" ref="G130:N130" si="1">(G71-G127)</f>
        <v>0</v>
      </c>
      <c r="H130" s="427">
        <f t="shared" si="1"/>
        <v>0</v>
      </c>
      <c r="I130" s="427">
        <f t="shared" si="1"/>
        <v>0</v>
      </c>
      <c r="J130" s="427">
        <f t="shared" si="1"/>
        <v>0</v>
      </c>
      <c r="K130" s="427">
        <f t="shared" si="1"/>
        <v>0</v>
      </c>
      <c r="L130" s="427">
        <f t="shared" si="1"/>
        <v>0</v>
      </c>
      <c r="M130" s="427">
        <f t="shared" si="1"/>
        <v>0</v>
      </c>
      <c r="N130" s="428">
        <f t="shared" si="1"/>
        <v>0</v>
      </c>
    </row>
    <row r="131" spans="1:14">
      <c r="A131" s="430" t="s">
        <v>247</v>
      </c>
      <c r="B131" s="430"/>
      <c r="C131" s="430" t="s">
        <v>248</v>
      </c>
      <c r="D131" s="431"/>
      <c r="E131" s="429">
        <f>E6-E7-E10-E14-E23-E26</f>
        <v>0</v>
      </c>
      <c r="F131" s="429">
        <f t="shared" ref="F131" si="2">F6-F7-F10-F14-F23-F26</f>
        <v>0</v>
      </c>
      <c r="G131" s="429">
        <f t="shared" ref="G131:N131" si="3">G6-G7-G10-G14-G23-G26</f>
        <v>0</v>
      </c>
      <c r="H131" s="429">
        <f t="shared" si="3"/>
        <v>0</v>
      </c>
      <c r="I131" s="429">
        <f t="shared" si="3"/>
        <v>0</v>
      </c>
      <c r="J131" s="429">
        <f t="shared" si="3"/>
        <v>0</v>
      </c>
      <c r="K131" s="429">
        <f t="shared" si="3"/>
        <v>0</v>
      </c>
      <c r="L131" s="429">
        <f t="shared" si="3"/>
        <v>0</v>
      </c>
      <c r="M131" s="429">
        <f t="shared" si="3"/>
        <v>0</v>
      </c>
      <c r="N131" s="432">
        <f t="shared" si="3"/>
        <v>0</v>
      </c>
    </row>
    <row r="132" spans="1:14">
      <c r="A132" s="430" t="s">
        <v>249</v>
      </c>
      <c r="B132" s="430"/>
      <c r="C132" s="430" t="s">
        <v>250</v>
      </c>
      <c r="D132" s="431"/>
      <c r="E132" s="429">
        <f>E32-E33-E41-E52-E55-E58-E64-E65</f>
        <v>0</v>
      </c>
      <c r="F132" s="429">
        <f t="shared" ref="F132" si="4">F32-F33-F41-F52-F55-F58-F64-F65</f>
        <v>0</v>
      </c>
      <c r="G132" s="429">
        <f t="shared" ref="G132:N132" si="5">G32-G33-G41-G52-G55-G58-G64-G65</f>
        <v>0</v>
      </c>
      <c r="H132" s="429">
        <f t="shared" si="5"/>
        <v>0</v>
      </c>
      <c r="I132" s="429">
        <f t="shared" si="5"/>
        <v>0</v>
      </c>
      <c r="J132" s="429">
        <f t="shared" si="5"/>
        <v>0</v>
      </c>
      <c r="K132" s="429">
        <f t="shared" si="5"/>
        <v>0</v>
      </c>
      <c r="L132" s="429">
        <f t="shared" si="5"/>
        <v>0</v>
      </c>
      <c r="M132" s="429">
        <f t="shared" si="5"/>
        <v>0</v>
      </c>
      <c r="N132" s="432">
        <f t="shared" si="5"/>
        <v>0</v>
      </c>
    </row>
    <row r="133" spans="1:14">
      <c r="A133" s="430" t="s">
        <v>245</v>
      </c>
      <c r="B133" s="430"/>
      <c r="C133" s="430" t="s">
        <v>251</v>
      </c>
      <c r="D133" s="431"/>
      <c r="E133" s="429">
        <f t="shared" ref="E133:N133" si="6">E71-E32-E6</f>
        <v>0</v>
      </c>
      <c r="F133" s="429">
        <f t="shared" ref="F133" si="7">F71-F32-F6</f>
        <v>0</v>
      </c>
      <c r="G133" s="429">
        <f t="shared" si="6"/>
        <v>0</v>
      </c>
      <c r="H133" s="429">
        <f t="shared" si="6"/>
        <v>0</v>
      </c>
      <c r="I133" s="429">
        <f t="shared" si="6"/>
        <v>0</v>
      </c>
      <c r="J133" s="429">
        <f t="shared" si="6"/>
        <v>0</v>
      </c>
      <c r="K133" s="429">
        <f t="shared" si="6"/>
        <v>0</v>
      </c>
      <c r="L133" s="429">
        <f t="shared" si="6"/>
        <v>0</v>
      </c>
      <c r="M133" s="429">
        <f t="shared" si="6"/>
        <v>0</v>
      </c>
      <c r="N133" s="432">
        <f t="shared" si="6"/>
        <v>0</v>
      </c>
    </row>
    <row r="134" spans="1:14">
      <c r="A134" s="430" t="s">
        <v>252</v>
      </c>
      <c r="B134" s="430"/>
      <c r="C134" s="430" t="s">
        <v>137</v>
      </c>
      <c r="D134" s="431"/>
      <c r="E134" s="429">
        <f>E73-SUM(E74:E87)</f>
        <v>0</v>
      </c>
      <c r="F134" s="429">
        <f t="shared" ref="F134" si="8">F73-SUM(F74:F87)</f>
        <v>0</v>
      </c>
      <c r="G134" s="429">
        <f t="shared" ref="G134:N134" si="9">G73-SUM(G74:G87)</f>
        <v>0</v>
      </c>
      <c r="H134" s="429">
        <f t="shared" si="9"/>
        <v>0</v>
      </c>
      <c r="I134" s="429">
        <f t="shared" si="9"/>
        <v>0</v>
      </c>
      <c r="J134" s="429">
        <f t="shared" si="9"/>
        <v>0</v>
      </c>
      <c r="K134" s="429">
        <f t="shared" si="9"/>
        <v>0</v>
      </c>
      <c r="L134" s="429">
        <f t="shared" si="9"/>
        <v>0</v>
      </c>
      <c r="M134" s="429">
        <f t="shared" si="9"/>
        <v>0</v>
      </c>
      <c r="N134" s="432">
        <f t="shared" si="9"/>
        <v>0</v>
      </c>
    </row>
    <row r="135" spans="1:14">
      <c r="A135" s="430" t="s">
        <v>253</v>
      </c>
      <c r="B135" s="430"/>
      <c r="C135" s="430" t="s">
        <v>254</v>
      </c>
      <c r="D135" s="431"/>
      <c r="E135" s="429">
        <f>E88-SUM(E89:E102)</f>
        <v>0</v>
      </c>
      <c r="F135" s="429">
        <f t="shared" ref="F135" si="10">F88-SUM(F89:F102)</f>
        <v>0</v>
      </c>
      <c r="G135" s="429">
        <f t="shared" ref="G135:N135" si="11">G88-SUM(G89:G102)</f>
        <v>0</v>
      </c>
      <c r="H135" s="429">
        <f t="shared" si="11"/>
        <v>0</v>
      </c>
      <c r="I135" s="429">
        <f t="shared" si="11"/>
        <v>0</v>
      </c>
      <c r="J135" s="429">
        <f t="shared" si="11"/>
        <v>0</v>
      </c>
      <c r="K135" s="429">
        <f t="shared" si="11"/>
        <v>0</v>
      </c>
      <c r="L135" s="429">
        <f t="shared" si="11"/>
        <v>0</v>
      </c>
      <c r="M135" s="429">
        <f t="shared" si="11"/>
        <v>0</v>
      </c>
      <c r="N135" s="432">
        <f t="shared" si="11"/>
        <v>0</v>
      </c>
    </row>
    <row r="136" spans="1:14">
      <c r="A136" s="433" t="s">
        <v>255</v>
      </c>
      <c r="B136" s="433"/>
      <c r="C136" s="433" t="s">
        <v>256</v>
      </c>
      <c r="D136" s="434"/>
      <c r="E136" s="435">
        <f>E72-E73-E88</f>
        <v>0</v>
      </c>
      <c r="F136" s="435">
        <f t="shared" ref="F136" si="12">F72-F73-F88</f>
        <v>0</v>
      </c>
      <c r="G136" s="435">
        <f t="shared" ref="G136:N136" si="13">G72-G73-G88</f>
        <v>0</v>
      </c>
      <c r="H136" s="435">
        <f t="shared" si="13"/>
        <v>0</v>
      </c>
      <c r="I136" s="435">
        <f t="shared" si="13"/>
        <v>0</v>
      </c>
      <c r="J136" s="435">
        <f t="shared" si="13"/>
        <v>0</v>
      </c>
      <c r="K136" s="435">
        <f t="shared" si="13"/>
        <v>0</v>
      </c>
      <c r="L136" s="435">
        <f t="shared" si="13"/>
        <v>0</v>
      </c>
      <c r="M136" s="435">
        <f t="shared" si="13"/>
        <v>0</v>
      </c>
      <c r="N136" s="436">
        <f t="shared" si="13"/>
        <v>0</v>
      </c>
    </row>
  </sheetData>
  <mergeCells count="2">
    <mergeCell ref="A1:A2"/>
    <mergeCell ref="C1:C2"/>
  </mergeCells>
  <conditionalFormatting sqref="E130:N136">
    <cfRule type="cellIs" dxfId="29" priority="1" operator="equal">
      <formula>0</formula>
    </cfRule>
    <cfRule type="cellIs" dxfId="28" priority="2" operator="not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7520-A4CA-4849-B0F7-F8B5C8DE000D}">
  <sheetPr>
    <tabColor theme="9"/>
  </sheetPr>
  <dimension ref="A1:I37"/>
  <sheetViews>
    <sheetView zoomScaleNormal="100" workbookViewId="0">
      <pane xSplit="3" ySplit="5" topLeftCell="D6" activePane="bottomRight" state="frozen"/>
      <selection pane="topRight" activeCell="C1" sqref="C1"/>
      <selection pane="bottomLeft" activeCell="A6" sqref="A6"/>
      <selection pane="bottomRight" activeCell="E29" sqref="E29"/>
    </sheetView>
  </sheetViews>
  <sheetFormatPr defaultColWidth="9.109375" defaultRowHeight="15" customHeight="1" outlineLevelRow="1" outlineLevelCol="1"/>
  <cols>
    <col min="1" max="1" width="40.44140625" style="3" customWidth="1" outlineLevel="1"/>
    <col min="2" max="2" width="2.88671875" style="3" customWidth="1"/>
    <col min="3" max="3" width="38.33203125" style="3" customWidth="1" outlineLevel="1"/>
    <col min="4" max="4" width="2.88671875" style="3" customWidth="1"/>
    <col min="5" max="5" width="17.109375" style="3" bestFit="1" customWidth="1"/>
    <col min="6" max="7" width="15.5546875" style="3" bestFit="1" customWidth="1"/>
    <col min="8" max="8" width="16.109375" style="3" bestFit="1" customWidth="1"/>
    <col min="9" max="9" width="17.109375" style="3" bestFit="1" customWidth="1"/>
    <col min="10" max="16384" width="9.109375" style="3"/>
  </cols>
  <sheetData>
    <row r="1" spans="1:9" ht="14.4">
      <c r="A1" s="666" t="s">
        <v>263</v>
      </c>
      <c r="B1" s="275"/>
      <c r="C1" s="666" t="s">
        <v>1</v>
      </c>
      <c r="D1" s="275"/>
      <c r="E1" s="400"/>
      <c r="F1" s="400"/>
      <c r="G1" s="400"/>
      <c r="H1" s="400"/>
      <c r="I1" s="401"/>
    </row>
    <row r="2" spans="1:9" thickBot="1">
      <c r="A2" s="667"/>
      <c r="B2" s="276"/>
      <c r="C2" s="667"/>
      <c r="D2" s="276"/>
      <c r="E2" s="404">
        <f>'IP_BS Raw'!E2</f>
        <v>2021</v>
      </c>
      <c r="F2" s="404">
        <f>'IP_BS Raw'!F2</f>
        <v>2022</v>
      </c>
      <c r="G2" s="404">
        <f>'IP_BS Raw'!G2</f>
        <v>2023</v>
      </c>
      <c r="H2" s="404">
        <f>'IP_BS Raw'!H2</f>
        <v>2024</v>
      </c>
      <c r="I2" s="405">
        <f>'IP_BS Raw'!I2</f>
        <v>2025</v>
      </c>
    </row>
    <row r="3" spans="1:9" ht="14.4">
      <c r="A3" s="406" t="s">
        <v>2</v>
      </c>
      <c r="B3" s="406"/>
      <c r="C3" s="406" t="s">
        <v>3</v>
      </c>
      <c r="D3" s="406"/>
      <c r="E3" s="450"/>
      <c r="F3" s="450"/>
      <c r="G3" s="450"/>
      <c r="H3" s="450"/>
      <c r="I3" s="450"/>
    </row>
    <row r="4" spans="1:9" ht="14.4">
      <c r="A4" s="406" t="s">
        <v>4</v>
      </c>
      <c r="B4" s="406"/>
      <c r="C4" s="406" t="s">
        <v>5</v>
      </c>
      <c r="D4" s="406"/>
      <c r="E4" s="450"/>
      <c r="F4" s="450"/>
      <c r="G4" s="450"/>
      <c r="H4" s="450"/>
      <c r="I4" s="450"/>
    </row>
    <row r="5" spans="1:9" ht="14.4">
      <c r="A5" s="406" t="s">
        <v>6</v>
      </c>
      <c r="B5" s="406"/>
      <c r="C5" s="406" t="s">
        <v>7</v>
      </c>
      <c r="D5" s="406"/>
      <c r="E5" s="450"/>
      <c r="F5" s="450"/>
      <c r="G5" s="450"/>
      <c r="H5" s="450"/>
      <c r="I5" s="450"/>
    </row>
    <row r="6" spans="1:9" ht="14.4">
      <c r="A6" s="451" t="s">
        <v>264</v>
      </c>
      <c r="B6" s="451"/>
      <c r="C6" s="451" t="s">
        <v>265</v>
      </c>
      <c r="D6" s="451"/>
      <c r="E6" s="413">
        <v>1082183356214</v>
      </c>
      <c r="F6" s="413">
        <v>317854901716</v>
      </c>
      <c r="G6" s="413">
        <v>414366625633</v>
      </c>
      <c r="H6" s="413">
        <v>1026485549969</v>
      </c>
      <c r="I6" s="413">
        <v>1639453759799</v>
      </c>
    </row>
    <row r="7" spans="1:9" ht="14.4">
      <c r="A7" s="412" t="s">
        <v>266</v>
      </c>
      <c r="B7" s="412"/>
      <c r="C7" s="412" t="s">
        <v>267</v>
      </c>
      <c r="D7" s="412"/>
      <c r="E7" s="413">
        <v>-2675562836</v>
      </c>
      <c r="F7" s="413">
        <v>-3730595402</v>
      </c>
      <c r="G7" s="413">
        <v>-2699840733</v>
      </c>
      <c r="H7" s="413">
        <v>-390681797</v>
      </c>
      <c r="I7" s="413">
        <v>-390681797</v>
      </c>
    </row>
    <row r="8" spans="1:9" s="18" customFormat="1" ht="14.4">
      <c r="A8" s="410" t="s">
        <v>268</v>
      </c>
      <c r="B8" s="410"/>
      <c r="C8" s="410" t="s">
        <v>269</v>
      </c>
      <c r="D8" s="410"/>
      <c r="E8" s="411">
        <v>1079507793378</v>
      </c>
      <c r="F8" s="411">
        <v>314124306314</v>
      </c>
      <c r="G8" s="411">
        <v>411666784900</v>
      </c>
      <c r="H8" s="411">
        <v>1026094868172</v>
      </c>
      <c r="I8" s="411">
        <v>1639063078002</v>
      </c>
    </row>
    <row r="9" spans="1:9" ht="14.4">
      <c r="A9" s="412" t="s">
        <v>270</v>
      </c>
      <c r="B9" s="412"/>
      <c r="C9" s="412" t="s">
        <v>271</v>
      </c>
      <c r="D9" s="412"/>
      <c r="E9" s="413">
        <v>-1045382703416</v>
      </c>
      <c r="F9" s="413">
        <v>-209645620562</v>
      </c>
      <c r="G9" s="413">
        <v>-296480952992</v>
      </c>
      <c r="H9" s="413">
        <v>-855243703997</v>
      </c>
      <c r="I9" s="413">
        <v>-1424028369399</v>
      </c>
    </row>
    <row r="10" spans="1:9" s="5" customFormat="1" ht="28.8">
      <c r="A10" s="410" t="s">
        <v>272</v>
      </c>
      <c r="B10" s="410"/>
      <c r="C10" s="410" t="s">
        <v>273</v>
      </c>
      <c r="D10" s="410"/>
      <c r="E10" s="411">
        <v>34125089962</v>
      </c>
      <c r="F10" s="411">
        <v>104478685752</v>
      </c>
      <c r="G10" s="411">
        <v>115185831908</v>
      </c>
      <c r="H10" s="411">
        <v>170851164175</v>
      </c>
      <c r="I10" s="411">
        <v>215034708603</v>
      </c>
    </row>
    <row r="11" spans="1:9" s="5" customFormat="1" ht="14.4">
      <c r="A11" s="410" t="s">
        <v>274</v>
      </c>
      <c r="B11" s="410"/>
      <c r="C11" s="410" t="s">
        <v>275</v>
      </c>
      <c r="D11" s="410"/>
      <c r="E11" s="411">
        <v>423849348595</v>
      </c>
      <c r="F11" s="411">
        <v>47340388199</v>
      </c>
      <c r="G11" s="411">
        <v>43586401680</v>
      </c>
      <c r="H11" s="411">
        <v>191906506913</v>
      </c>
      <c r="I11" s="411">
        <v>120349183176</v>
      </c>
    </row>
    <row r="12" spans="1:9" ht="14.4">
      <c r="A12" s="412" t="s">
        <v>276</v>
      </c>
      <c r="B12" s="412"/>
      <c r="C12" s="412" t="s">
        <v>277</v>
      </c>
      <c r="D12" s="412"/>
      <c r="E12" s="413">
        <v>-28037984463</v>
      </c>
      <c r="F12" s="413">
        <v>-9021747176</v>
      </c>
      <c r="G12" s="413">
        <v>-23482415579</v>
      </c>
      <c r="H12" s="413">
        <v>-51108323960</v>
      </c>
      <c r="I12" s="413">
        <v>-27197709414</v>
      </c>
    </row>
    <row r="13" spans="1:9" ht="14.4" outlineLevel="1">
      <c r="A13" s="412" t="s">
        <v>278</v>
      </c>
      <c r="B13" s="412"/>
      <c r="C13" s="412" t="s">
        <v>279</v>
      </c>
      <c r="D13" s="412"/>
      <c r="E13" s="413">
        <v>-21801000846</v>
      </c>
      <c r="F13" s="413">
        <v>-6906877175</v>
      </c>
      <c r="G13" s="413">
        <v>-21505000199</v>
      </c>
      <c r="H13" s="413">
        <v>-28208427529</v>
      </c>
      <c r="I13" s="413">
        <v>-25900554619</v>
      </c>
    </row>
    <row r="14" spans="1:9" ht="14.4">
      <c r="A14" s="412" t="s">
        <v>293</v>
      </c>
      <c r="B14" s="412"/>
      <c r="C14" s="412" t="s">
        <v>1071</v>
      </c>
      <c r="D14" s="412"/>
      <c r="E14" s="413">
        <v>436847500</v>
      </c>
      <c r="F14" s="413">
        <v>505897455</v>
      </c>
      <c r="G14" s="413">
        <v>-4853955053</v>
      </c>
      <c r="H14" s="413">
        <v>-15223546244</v>
      </c>
      <c r="I14" s="413">
        <v>-1456928964</v>
      </c>
    </row>
    <row r="15" spans="1:9" ht="14.4">
      <c r="A15" s="412" t="s">
        <v>281</v>
      </c>
      <c r="B15" s="412"/>
      <c r="C15" s="412" t="s">
        <v>282</v>
      </c>
      <c r="D15" s="412"/>
      <c r="E15" s="413">
        <v>-86766850424</v>
      </c>
      <c r="F15" s="413">
        <v>-20658752305</v>
      </c>
      <c r="G15" s="413">
        <v>-14260496293</v>
      </c>
      <c r="H15" s="413">
        <v>-26239808550</v>
      </c>
      <c r="I15" s="413">
        <v>-39335239608</v>
      </c>
    </row>
    <row r="16" spans="1:9" ht="14.4">
      <c r="A16" s="412" t="s">
        <v>283</v>
      </c>
      <c r="B16" s="412"/>
      <c r="C16" s="412" t="s">
        <v>284</v>
      </c>
      <c r="D16" s="412"/>
      <c r="E16" s="413">
        <v>-211115902487</v>
      </c>
      <c r="F16" s="413">
        <v>-93384172422</v>
      </c>
      <c r="G16" s="413">
        <v>-66900478155</v>
      </c>
      <c r="H16" s="413">
        <v>-151633232794</v>
      </c>
      <c r="I16" s="413">
        <v>-167762629718</v>
      </c>
    </row>
    <row r="17" spans="1:9" ht="14.4">
      <c r="A17" s="412" t="s">
        <v>285</v>
      </c>
      <c r="B17" s="412"/>
      <c r="C17" s="412" t="s">
        <v>286</v>
      </c>
      <c r="D17" s="412"/>
      <c r="E17" s="413">
        <v>132490548683</v>
      </c>
      <c r="F17" s="413">
        <v>29260299503</v>
      </c>
      <c r="G17" s="413">
        <v>49274888508</v>
      </c>
      <c r="H17" s="413">
        <v>118552759540</v>
      </c>
      <c r="I17" s="413">
        <v>99631384075</v>
      </c>
    </row>
    <row r="18" spans="1:9" s="5" customFormat="1" ht="14.4">
      <c r="A18" s="410" t="s">
        <v>287</v>
      </c>
      <c r="B18" s="410"/>
      <c r="C18" s="410" t="s">
        <v>288</v>
      </c>
      <c r="D18" s="410"/>
      <c r="E18" s="411">
        <v>-34173832376</v>
      </c>
      <c r="F18" s="411">
        <v>-345291142</v>
      </c>
      <c r="G18" s="411">
        <v>-20350770574</v>
      </c>
      <c r="H18" s="411">
        <v>-7930215677</v>
      </c>
      <c r="I18" s="411">
        <v>-4951888334</v>
      </c>
    </row>
    <row r="19" spans="1:9" ht="14.4" outlineLevel="1">
      <c r="A19" s="412" t="s">
        <v>289</v>
      </c>
      <c r="B19" s="412"/>
      <c r="C19" s="412" t="s">
        <v>290</v>
      </c>
      <c r="D19" s="412"/>
      <c r="E19" s="413">
        <v>483012405</v>
      </c>
      <c r="F19" s="413">
        <v>19096477919</v>
      </c>
      <c r="G19" s="413">
        <v>1799158515</v>
      </c>
      <c r="H19" s="413">
        <v>1073324563</v>
      </c>
      <c r="I19" s="413">
        <v>503155131</v>
      </c>
    </row>
    <row r="20" spans="1:9" ht="14.4" outlineLevel="1">
      <c r="A20" s="412" t="s">
        <v>291</v>
      </c>
      <c r="B20" s="412"/>
      <c r="C20" s="412" t="s">
        <v>292</v>
      </c>
      <c r="D20" s="412"/>
      <c r="E20" s="413">
        <v>-34656844781</v>
      </c>
      <c r="F20" s="413">
        <v>-19441769061</v>
      </c>
      <c r="G20" s="413">
        <v>-22149929089</v>
      </c>
      <c r="H20" s="413">
        <v>-9003540240</v>
      </c>
      <c r="I20" s="413">
        <v>-5455043465</v>
      </c>
    </row>
    <row r="21" spans="1:9" ht="14.4">
      <c r="A21" s="412" t="s">
        <v>293</v>
      </c>
      <c r="B21" s="412"/>
      <c r="C21" s="412" t="s">
        <v>294</v>
      </c>
      <c r="D21" s="412"/>
      <c r="E21" s="413"/>
      <c r="F21" s="413"/>
      <c r="G21" s="413"/>
      <c r="H21" s="413"/>
      <c r="I21" s="413"/>
    </row>
    <row r="22" spans="1:9" s="5" customFormat="1" ht="14.4">
      <c r="A22" s="410" t="s">
        <v>295</v>
      </c>
      <c r="B22" s="410"/>
      <c r="C22" s="410" t="s">
        <v>296</v>
      </c>
      <c r="D22" s="410"/>
      <c r="E22" s="411">
        <v>98316716307</v>
      </c>
      <c r="F22" s="411">
        <v>28915008361</v>
      </c>
      <c r="G22" s="411">
        <v>28924117934</v>
      </c>
      <c r="H22" s="411">
        <v>110622543863</v>
      </c>
      <c r="I22" s="411">
        <v>94679495741</v>
      </c>
    </row>
    <row r="23" spans="1:9" ht="14.4">
      <c r="A23" s="412" t="s">
        <v>297</v>
      </c>
      <c r="B23" s="412"/>
      <c r="C23" s="412" t="s">
        <v>298</v>
      </c>
      <c r="D23" s="412"/>
      <c r="E23" s="413">
        <v>-68326484945</v>
      </c>
      <c r="F23" s="413">
        <v>-4024148047</v>
      </c>
      <c r="G23" s="413">
        <v>-2405158607</v>
      </c>
      <c r="H23" s="413">
        <v>11951746732</v>
      </c>
      <c r="I23" s="413">
        <v>-17278295298</v>
      </c>
    </row>
    <row r="24" spans="1:9" ht="14.4" outlineLevel="1">
      <c r="A24" s="412" t="s">
        <v>299</v>
      </c>
      <c r="B24" s="412"/>
      <c r="C24" s="412" t="s">
        <v>300</v>
      </c>
      <c r="D24" s="412"/>
      <c r="E24" s="413">
        <v>-38377310844</v>
      </c>
      <c r="F24" s="413">
        <v>-6456274449</v>
      </c>
      <c r="G24" s="413">
        <v>1545560455</v>
      </c>
      <c r="H24" s="413">
        <v>-12081916503</v>
      </c>
      <c r="I24" s="413">
        <v>-7059602748</v>
      </c>
    </row>
    <row r="25" spans="1:9" ht="14.4" outlineLevel="1">
      <c r="A25" s="412" t="s">
        <v>301</v>
      </c>
      <c r="B25" s="412"/>
      <c r="C25" s="412" t="s">
        <v>302</v>
      </c>
      <c r="D25" s="412"/>
      <c r="E25" s="413">
        <v>-29949174101</v>
      </c>
      <c r="F25" s="413">
        <v>2432126402</v>
      </c>
      <c r="G25" s="413">
        <v>-3950719062</v>
      </c>
      <c r="H25" s="413">
        <v>24033663235</v>
      </c>
      <c r="I25" s="413">
        <v>-10218692550</v>
      </c>
    </row>
    <row r="26" spans="1:9" ht="14.4">
      <c r="A26" s="415" t="s">
        <v>303</v>
      </c>
      <c r="B26" s="415"/>
      <c r="C26" s="415" t="s">
        <v>304</v>
      </c>
      <c r="D26" s="415"/>
      <c r="E26" s="452">
        <v>29990231362</v>
      </c>
      <c r="F26" s="452">
        <v>24890860314</v>
      </c>
      <c r="G26" s="452">
        <v>26518959327</v>
      </c>
      <c r="H26" s="452">
        <v>122574290595</v>
      </c>
      <c r="I26" s="452">
        <v>77401200443</v>
      </c>
    </row>
    <row r="27" spans="1:9" ht="14.4">
      <c r="A27" s="412" t="s">
        <v>305</v>
      </c>
      <c r="B27" s="412"/>
      <c r="C27" s="412" t="s">
        <v>306</v>
      </c>
      <c r="D27" s="412"/>
      <c r="E27" s="413">
        <v>140197129432</v>
      </c>
      <c r="F27" s="413">
        <v>13986873201</v>
      </c>
      <c r="G27" s="413">
        <v>-339748836</v>
      </c>
      <c r="H27" s="413">
        <v>-3133772972</v>
      </c>
      <c r="I27" s="413">
        <v>839269032</v>
      </c>
    </row>
    <row r="28" spans="1:9" ht="14.4">
      <c r="A28" s="453" t="s">
        <v>307</v>
      </c>
      <c r="B28" s="453"/>
      <c r="C28" s="453" t="s">
        <v>308</v>
      </c>
      <c r="D28" s="453"/>
      <c r="E28" s="413">
        <v>19793101930</v>
      </c>
      <c r="F28" s="413">
        <v>10903987113</v>
      </c>
      <c r="G28" s="413">
        <v>26858708163</v>
      </c>
      <c r="H28" s="413">
        <v>125708063567</v>
      </c>
      <c r="I28" s="413">
        <v>76561931411</v>
      </c>
    </row>
    <row r="29" spans="1:9" ht="14.4">
      <c r="A29" s="453" t="s">
        <v>309</v>
      </c>
      <c r="B29" s="453"/>
      <c r="C29" s="453" t="s">
        <v>310</v>
      </c>
      <c r="D29" s="453"/>
      <c r="E29" s="660">
        <f>E28/(IPc_Others!$G$50*1000000)</f>
        <v>103.1954740730462</v>
      </c>
      <c r="F29" s="660">
        <f>F28/(IPc_Others!$G$50*1000000)</f>
        <v>56.850215968772176</v>
      </c>
      <c r="G29" s="660">
        <f>G28/(IPc_Others!$G$50*1000000)</f>
        <v>140.03348902424315</v>
      </c>
      <c r="H29" s="660">
        <f>H28/(IPc_Others!$G$50*1000000)</f>
        <v>655.40526494935261</v>
      </c>
      <c r="I29" s="660">
        <f>I28/(IPc_Others!$G$50*1000000)</f>
        <v>399.17163241255497</v>
      </c>
    </row>
    <row r="30" spans="1:9" ht="14.4">
      <c r="A30" s="454" t="s">
        <v>311</v>
      </c>
      <c r="B30" s="454"/>
      <c r="C30" s="454" t="s">
        <v>312</v>
      </c>
      <c r="D30" s="454"/>
      <c r="E30" s="661">
        <f>E29</f>
        <v>103.1954740730462</v>
      </c>
      <c r="F30" s="661">
        <f>F29</f>
        <v>56.850215968772176</v>
      </c>
      <c r="G30" s="661">
        <f>G29</f>
        <v>140.03348902424315</v>
      </c>
      <c r="H30" s="661">
        <f>H29</f>
        <v>655.40526494935261</v>
      </c>
      <c r="I30" s="661">
        <f>I29</f>
        <v>399.17163241255497</v>
      </c>
    </row>
    <row r="31" spans="1:9" ht="14.4">
      <c r="A31" s="448"/>
      <c r="B31" s="448"/>
      <c r="C31" s="448"/>
      <c r="D31" s="448"/>
      <c r="E31" s="449"/>
      <c r="F31" s="449"/>
      <c r="G31" s="449"/>
      <c r="H31" s="449"/>
      <c r="I31" s="449"/>
    </row>
    <row r="32" spans="1:9" ht="14.4">
      <c r="A32" s="415" t="s">
        <v>244</v>
      </c>
      <c r="B32" s="415"/>
      <c r="C32" s="415"/>
      <c r="D32" s="402"/>
      <c r="E32" s="403"/>
      <c r="F32" s="403"/>
      <c r="G32" s="403"/>
      <c r="H32" s="403"/>
      <c r="I32" s="403"/>
    </row>
    <row r="33" spans="1:9" ht="14.4">
      <c r="A33" s="455" t="s">
        <v>313</v>
      </c>
      <c r="B33" s="425"/>
      <c r="C33" s="425" t="s">
        <v>314</v>
      </c>
      <c r="D33" s="426"/>
      <c r="E33" s="427">
        <f>E6+E7+E9-E10</f>
        <v>0</v>
      </c>
      <c r="F33" s="427">
        <f t="shared" ref="F33:H33" si="0">F6+F7+F9-F10</f>
        <v>0</v>
      </c>
      <c r="G33" s="427">
        <f t="shared" si="0"/>
        <v>0</v>
      </c>
      <c r="H33" s="428">
        <f t="shared" si="0"/>
        <v>0</v>
      </c>
      <c r="I33" s="429">
        <f>I6+I7+I9-I10</f>
        <v>0</v>
      </c>
    </row>
    <row r="34" spans="1:9" ht="14.4">
      <c r="A34" s="456" t="s">
        <v>315</v>
      </c>
      <c r="B34" s="430"/>
      <c r="C34" s="430" t="s">
        <v>316</v>
      </c>
      <c r="D34" s="431"/>
      <c r="E34" s="429">
        <f t="shared" ref="E34:G34" si="1">E18-E19-E20</f>
        <v>0</v>
      </c>
      <c r="F34" s="429">
        <f t="shared" si="1"/>
        <v>0</v>
      </c>
      <c r="G34" s="429">
        <f t="shared" si="1"/>
        <v>0</v>
      </c>
      <c r="H34" s="432">
        <f>H18-H19-H20</f>
        <v>0</v>
      </c>
      <c r="I34" s="429">
        <f>I18-I19-I20</f>
        <v>0</v>
      </c>
    </row>
    <row r="35" spans="1:9" ht="14.4">
      <c r="A35" s="456" t="s">
        <v>317</v>
      </c>
      <c r="B35" s="430"/>
      <c r="C35" s="430" t="s">
        <v>318</v>
      </c>
      <c r="D35" s="431"/>
      <c r="E35" s="429">
        <f>E10+E11+E14+E15+E16+E18+E12-E22</f>
        <v>0</v>
      </c>
      <c r="F35" s="429">
        <f t="shared" ref="F35:H35" si="2">F10+F11+F14+F15+F16+F18+F12-F22</f>
        <v>0</v>
      </c>
      <c r="G35" s="429">
        <f t="shared" si="2"/>
        <v>0</v>
      </c>
      <c r="H35" s="432">
        <f t="shared" si="2"/>
        <v>0</v>
      </c>
      <c r="I35" s="429">
        <f>I10+I11+I14+I15+I16+I18+I12-I22</f>
        <v>0</v>
      </c>
    </row>
    <row r="36" spans="1:9" ht="14.4">
      <c r="A36" s="456" t="s">
        <v>319</v>
      </c>
      <c r="B36" s="430"/>
      <c r="C36" s="430" t="s">
        <v>320</v>
      </c>
      <c r="D36" s="431"/>
      <c r="E36" s="429">
        <f t="shared" ref="E36:H36" si="3">E24+E25-E23</f>
        <v>0</v>
      </c>
      <c r="F36" s="429">
        <f t="shared" si="3"/>
        <v>0</v>
      </c>
      <c r="G36" s="429">
        <f t="shared" si="3"/>
        <v>0</v>
      </c>
      <c r="H36" s="432">
        <f t="shared" si="3"/>
        <v>0</v>
      </c>
      <c r="I36" s="429">
        <f>I24+I25-I23</f>
        <v>0</v>
      </c>
    </row>
    <row r="37" spans="1:9" ht="14.4">
      <c r="A37" s="457" t="s">
        <v>321</v>
      </c>
      <c r="B37" s="433"/>
      <c r="C37" s="433" t="s">
        <v>322</v>
      </c>
      <c r="D37" s="434"/>
      <c r="E37" s="435">
        <f t="shared" ref="E37:H37" si="4">E22+E23-E26</f>
        <v>0</v>
      </c>
      <c r="F37" s="435">
        <f t="shared" si="4"/>
        <v>0</v>
      </c>
      <c r="G37" s="435">
        <f t="shared" si="4"/>
        <v>0</v>
      </c>
      <c r="H37" s="436">
        <f t="shared" si="4"/>
        <v>0</v>
      </c>
      <c r="I37" s="429">
        <f>I22+I23-I26</f>
        <v>0</v>
      </c>
    </row>
  </sheetData>
  <mergeCells count="2">
    <mergeCell ref="A1:A2"/>
    <mergeCell ref="C1:C2"/>
  </mergeCells>
  <conditionalFormatting sqref="E33:I37">
    <cfRule type="cellIs" dxfId="27" priority="1" operator="equal">
      <formula>0</formula>
    </cfRule>
    <cfRule type="cellIs" dxfId="26" priority="2" operator="not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EB679-B51F-43D7-B72B-301C51766906}">
  <sheetPr>
    <tabColor theme="9"/>
  </sheetPr>
  <dimension ref="A1:I53"/>
  <sheetViews>
    <sheetView zoomScaleNormal="100" workbookViewId="0">
      <pane xSplit="3" ySplit="5" topLeftCell="D6" activePane="bottomRight" state="frozen"/>
      <selection pane="topRight" activeCell="C1" sqref="C1"/>
      <selection pane="bottomLeft" activeCell="A6" sqref="A6"/>
      <selection pane="bottomRight" activeCell="A36" sqref="A36"/>
    </sheetView>
  </sheetViews>
  <sheetFormatPr defaultRowHeight="15" customHeight="1" outlineLevelRow="1" outlineLevelCol="1"/>
  <cols>
    <col min="1" max="1" width="66.33203125" style="1" customWidth="1" outlineLevel="1"/>
    <col min="2" max="2" width="2.88671875" style="1" customWidth="1"/>
    <col min="3" max="3" width="49.88671875" style="1" customWidth="1" outlineLevel="1"/>
    <col min="4" max="4" width="2.88671875" style="1" customWidth="1"/>
    <col min="5" max="9" width="15.77734375" style="1" bestFit="1" customWidth="1"/>
  </cols>
  <sheetData>
    <row r="1" spans="1:9" ht="14.4">
      <c r="A1" s="666" t="s">
        <v>323</v>
      </c>
      <c r="B1" s="275"/>
      <c r="C1" s="666" t="s">
        <v>1</v>
      </c>
      <c r="D1" s="275"/>
      <c r="E1" s="458"/>
      <c r="F1" s="458"/>
      <c r="G1" s="458"/>
      <c r="H1" s="458"/>
      <c r="I1" s="459"/>
    </row>
    <row r="2" spans="1:9" thickBot="1">
      <c r="A2" s="667"/>
      <c r="B2" s="276"/>
      <c r="C2" s="667"/>
      <c r="D2" s="276"/>
      <c r="E2" s="404">
        <f>'IP_BS Raw'!E2</f>
        <v>2021</v>
      </c>
      <c r="F2" s="404">
        <f>'IP_BS Raw'!F2</f>
        <v>2022</v>
      </c>
      <c r="G2" s="404">
        <f>'IP_BS Raw'!G2</f>
        <v>2023</v>
      </c>
      <c r="H2" s="404">
        <f>'IP_BS Raw'!H2</f>
        <v>2024</v>
      </c>
      <c r="I2" s="405">
        <f>'IP_BS Raw'!I2</f>
        <v>2025</v>
      </c>
    </row>
    <row r="3" spans="1:9" ht="14.4">
      <c r="A3" s="406" t="s">
        <v>2</v>
      </c>
      <c r="B3" s="406"/>
      <c r="C3" s="406" t="s">
        <v>3</v>
      </c>
      <c r="D3" s="406"/>
      <c r="E3" s="407"/>
      <c r="F3" s="407"/>
      <c r="G3" s="407"/>
      <c r="H3" s="407"/>
      <c r="I3" s="407"/>
    </row>
    <row r="4" spans="1:9" ht="14.4">
      <c r="A4" s="406" t="s">
        <v>4</v>
      </c>
      <c r="B4" s="406"/>
      <c r="C4" s="406" t="s">
        <v>5</v>
      </c>
      <c r="D4" s="406"/>
      <c r="E4" s="407"/>
      <c r="F4" s="407"/>
      <c r="G4" s="407"/>
      <c r="H4" s="407"/>
      <c r="I4" s="407"/>
    </row>
    <row r="5" spans="1:9" ht="14.4">
      <c r="A5" s="406" t="s">
        <v>6</v>
      </c>
      <c r="B5" s="406"/>
      <c r="C5" s="406" t="s">
        <v>7</v>
      </c>
      <c r="D5" s="406"/>
      <c r="E5" s="407"/>
      <c r="F5" s="407"/>
      <c r="G5" s="407"/>
      <c r="H5" s="407"/>
      <c r="I5" s="407"/>
    </row>
    <row r="6" spans="1:9" ht="14.4">
      <c r="A6" s="462" t="s">
        <v>324</v>
      </c>
      <c r="B6" s="462"/>
      <c r="C6" s="462" t="s">
        <v>325</v>
      </c>
      <c r="D6" s="462"/>
      <c r="E6" s="416">
        <v>98316716307</v>
      </c>
      <c r="F6" s="416">
        <v>28915008361</v>
      </c>
      <c r="G6" s="416">
        <v>28924117934</v>
      </c>
      <c r="H6" s="416">
        <v>110622543863</v>
      </c>
      <c r="I6" s="416">
        <v>94679495741</v>
      </c>
    </row>
    <row r="7" spans="1:9" ht="14.4">
      <c r="A7" s="412" t="s">
        <v>1072</v>
      </c>
      <c r="B7" s="412"/>
      <c r="C7" s="412" t="s">
        <v>1073</v>
      </c>
      <c r="D7" s="412"/>
      <c r="E7" s="413">
        <v>60873843139</v>
      </c>
      <c r="F7" s="413">
        <v>11001224837</v>
      </c>
      <c r="G7" s="413">
        <v>12939753078</v>
      </c>
      <c r="H7" s="413">
        <v>54824557578</v>
      </c>
      <c r="I7" s="413">
        <v>83639088776</v>
      </c>
    </row>
    <row r="8" spans="1:9" ht="14.4">
      <c r="A8" s="412" t="s">
        <v>326</v>
      </c>
      <c r="B8" s="412"/>
      <c r="C8" s="412" t="s">
        <v>327</v>
      </c>
      <c r="D8" s="412"/>
      <c r="E8" s="413">
        <v>52061632930</v>
      </c>
      <c r="F8" s="413">
        <v>31178258773</v>
      </c>
      <c r="G8" s="413">
        <v>-18008135174</v>
      </c>
      <c r="H8" s="413">
        <v>16612904416</v>
      </c>
      <c r="I8" s="413">
        <v>4165257188</v>
      </c>
    </row>
    <row r="9" spans="1:9" ht="14.4">
      <c r="A9" s="463" t="s">
        <v>328</v>
      </c>
      <c r="B9" s="412"/>
      <c r="C9" s="412" t="s">
        <v>329</v>
      </c>
      <c r="D9" s="412"/>
      <c r="E9" s="413">
        <v>158090446</v>
      </c>
      <c r="F9" s="413">
        <v>28453361</v>
      </c>
      <c r="G9" s="413"/>
      <c r="H9" s="413"/>
      <c r="I9" s="413"/>
    </row>
    <row r="10" spans="1:9" ht="14.4">
      <c r="A10" s="412" t="s">
        <v>330</v>
      </c>
      <c r="B10" s="412"/>
      <c r="C10" s="412" t="s">
        <v>331</v>
      </c>
      <c r="D10" s="412"/>
      <c r="E10" s="413"/>
      <c r="F10" s="413"/>
      <c r="G10" s="413"/>
      <c r="H10" s="413"/>
      <c r="I10" s="413"/>
    </row>
    <row r="11" spans="1:9" ht="14.4">
      <c r="A11" s="412" t="s">
        <v>332</v>
      </c>
      <c r="B11" s="412"/>
      <c r="C11" s="412" t="s">
        <v>333</v>
      </c>
      <c r="D11" s="412"/>
      <c r="E11" s="413">
        <v>-417635142186</v>
      </c>
      <c r="F11" s="413">
        <v>-53646900130</v>
      </c>
      <c r="G11" s="413">
        <v>-27299492204</v>
      </c>
      <c r="H11" s="413">
        <v>-155697273093</v>
      </c>
      <c r="I11" s="413">
        <v>-115880067890</v>
      </c>
    </row>
    <row r="12" spans="1:9" ht="14.4">
      <c r="A12" s="412" t="s">
        <v>334</v>
      </c>
      <c r="B12" s="412"/>
      <c r="C12" s="412" t="s">
        <v>335</v>
      </c>
      <c r="D12" s="412"/>
      <c r="E12" s="413">
        <v>21801000846</v>
      </c>
      <c r="F12" s="413">
        <v>6906877175</v>
      </c>
      <c r="G12" s="413">
        <v>21505000199</v>
      </c>
      <c r="H12" s="413">
        <v>28208427529</v>
      </c>
      <c r="I12" s="413">
        <v>25900554619</v>
      </c>
    </row>
    <row r="13" spans="1:9" ht="14.4">
      <c r="A13" s="412" t="s">
        <v>336</v>
      </c>
      <c r="B13" s="412"/>
      <c r="C13" s="412" t="s">
        <v>337</v>
      </c>
      <c r="D13" s="412"/>
      <c r="E13" s="413"/>
      <c r="F13" s="413"/>
      <c r="G13" s="413"/>
      <c r="H13" s="413"/>
      <c r="I13" s="413"/>
    </row>
    <row r="14" spans="1:9" ht="14.4">
      <c r="A14" s="412" t="s">
        <v>338</v>
      </c>
      <c r="B14" s="412"/>
      <c r="C14" s="412" t="s">
        <v>339</v>
      </c>
      <c r="D14" s="412"/>
      <c r="E14" s="413"/>
      <c r="F14" s="413"/>
      <c r="G14" s="413"/>
      <c r="H14" s="413"/>
      <c r="I14" s="413"/>
    </row>
    <row r="15" spans="1:9" ht="28.8">
      <c r="A15" s="410" t="s">
        <v>340</v>
      </c>
      <c r="B15" s="410"/>
      <c r="C15" s="410" t="s">
        <v>341</v>
      </c>
      <c r="D15" s="410"/>
      <c r="E15" s="411">
        <v>-184423858518</v>
      </c>
      <c r="F15" s="411">
        <v>24382922377</v>
      </c>
      <c r="G15" s="411">
        <v>18061243833</v>
      </c>
      <c r="H15" s="411">
        <v>54571160293</v>
      </c>
      <c r="I15" s="411">
        <v>92504328434</v>
      </c>
    </row>
    <row r="16" spans="1:9" ht="14.4" outlineLevel="1">
      <c r="A16" s="412" t="s">
        <v>342</v>
      </c>
      <c r="B16" s="412"/>
      <c r="C16" s="412" t="s">
        <v>343</v>
      </c>
      <c r="D16" s="412"/>
      <c r="E16" s="413">
        <v>57022448497</v>
      </c>
      <c r="F16" s="413">
        <v>-152533901863</v>
      </c>
      <c r="G16" s="413">
        <v>-228497578408</v>
      </c>
      <c r="H16" s="413">
        <v>-84686670798</v>
      </c>
      <c r="I16" s="413">
        <v>-22437035213</v>
      </c>
    </row>
    <row r="17" spans="1:9" ht="14.4" outlineLevel="1">
      <c r="A17" s="412" t="s">
        <v>344</v>
      </c>
      <c r="B17" s="412"/>
      <c r="C17" s="412" t="s">
        <v>345</v>
      </c>
      <c r="D17" s="412"/>
      <c r="E17" s="413">
        <v>33631958809</v>
      </c>
      <c r="F17" s="413">
        <v>41310624943</v>
      </c>
      <c r="G17" s="413">
        <v>11742694895</v>
      </c>
      <c r="H17" s="413">
        <v>-57188071887</v>
      </c>
      <c r="I17" s="413">
        <v>-61641565169</v>
      </c>
    </row>
    <row r="18" spans="1:9" ht="14.4" outlineLevel="1">
      <c r="A18" s="412" t="s">
        <v>346</v>
      </c>
      <c r="B18" s="412"/>
      <c r="C18" s="412" t="s">
        <v>347</v>
      </c>
      <c r="D18" s="412"/>
      <c r="E18" s="413">
        <v>-84795032317</v>
      </c>
      <c r="F18" s="413">
        <v>-48903797346</v>
      </c>
      <c r="G18" s="413">
        <v>59812819534</v>
      </c>
      <c r="H18" s="413">
        <v>419591062933</v>
      </c>
      <c r="I18" s="413">
        <v>22306828509</v>
      </c>
    </row>
    <row r="19" spans="1:9" ht="14.4" outlineLevel="1">
      <c r="A19" s="412" t="s">
        <v>348</v>
      </c>
      <c r="B19" s="412"/>
      <c r="C19" s="412" t="s">
        <v>349</v>
      </c>
      <c r="D19" s="412"/>
      <c r="E19" s="413">
        <v>114913464323</v>
      </c>
      <c r="F19" s="413">
        <v>-6095619097</v>
      </c>
      <c r="G19" s="413">
        <v>-20742237026</v>
      </c>
      <c r="H19" s="413">
        <v>43291436246</v>
      </c>
      <c r="I19" s="413">
        <v>21618297007</v>
      </c>
    </row>
    <row r="20" spans="1:9" ht="14.4" outlineLevel="1">
      <c r="A20" s="412" t="s">
        <v>350</v>
      </c>
      <c r="B20" s="412"/>
      <c r="C20" s="412" t="s">
        <v>351</v>
      </c>
      <c r="D20" s="412"/>
      <c r="E20" s="413"/>
      <c r="F20" s="413"/>
      <c r="G20" s="413"/>
      <c r="H20" s="413"/>
      <c r="I20" s="413"/>
    </row>
    <row r="21" spans="1:9" ht="14.4" outlineLevel="1">
      <c r="A21" s="412" t="s">
        <v>352</v>
      </c>
      <c r="B21" s="412"/>
      <c r="C21" s="412" t="s">
        <v>353</v>
      </c>
      <c r="D21" s="412"/>
      <c r="E21" s="413">
        <v>-12842860526</v>
      </c>
      <c r="F21" s="413">
        <v>-12387461394</v>
      </c>
      <c r="G21" s="413">
        <v>-21496776942</v>
      </c>
      <c r="H21" s="413">
        <v>-16714808252</v>
      </c>
      <c r="I21" s="413">
        <v>-36916434814</v>
      </c>
    </row>
    <row r="22" spans="1:9" ht="14.4" outlineLevel="1">
      <c r="A22" s="412" t="s">
        <v>354</v>
      </c>
      <c r="B22" s="412"/>
      <c r="C22" s="412" t="s">
        <v>355</v>
      </c>
      <c r="D22" s="412"/>
      <c r="E22" s="413">
        <v>-11906493786</v>
      </c>
      <c r="F22" s="413">
        <v>-11091647373</v>
      </c>
      <c r="G22" s="413">
        <v>-11349753635</v>
      </c>
      <c r="H22" s="413">
        <v>-1436256929</v>
      </c>
      <c r="I22" s="413">
        <v>-8068991896</v>
      </c>
    </row>
    <row r="23" spans="1:9" ht="14.4" outlineLevel="1">
      <c r="A23" s="412" t="s">
        <v>356</v>
      </c>
      <c r="B23" s="412"/>
      <c r="C23" s="412" t="s">
        <v>357</v>
      </c>
      <c r="D23" s="412"/>
      <c r="E23" s="413"/>
      <c r="F23" s="413"/>
      <c r="G23" s="413"/>
      <c r="H23" s="413"/>
      <c r="I23" s="413"/>
    </row>
    <row r="24" spans="1:9" ht="14.4" outlineLevel="1">
      <c r="A24" s="412" t="s">
        <v>358</v>
      </c>
      <c r="B24" s="412"/>
      <c r="C24" s="412" t="s">
        <v>359</v>
      </c>
      <c r="D24" s="412"/>
      <c r="E24" s="413"/>
      <c r="F24" s="413"/>
      <c r="G24" s="413"/>
      <c r="H24" s="413"/>
      <c r="I24" s="413"/>
    </row>
    <row r="25" spans="1:9" ht="15" customHeight="1">
      <c r="A25" s="410" t="s">
        <v>360</v>
      </c>
      <c r="B25" s="410"/>
      <c r="C25" s="410" t="s">
        <v>361</v>
      </c>
      <c r="D25" s="410"/>
      <c r="E25" s="411">
        <v>-88400373518</v>
      </c>
      <c r="F25" s="411">
        <v>-165318879753</v>
      </c>
      <c r="G25" s="411">
        <v>-192469587749</v>
      </c>
      <c r="H25" s="411">
        <v>357427851606</v>
      </c>
      <c r="I25" s="411">
        <v>7365426858</v>
      </c>
    </row>
    <row r="26" spans="1:9" ht="14.4">
      <c r="A26" s="410" t="s">
        <v>362</v>
      </c>
      <c r="B26" s="410"/>
      <c r="C26" s="410" t="s">
        <v>363</v>
      </c>
      <c r="D26" s="410"/>
      <c r="E26" s="411">
        <v>11187918086</v>
      </c>
      <c r="F26" s="411">
        <v>293110077155</v>
      </c>
      <c r="G26" s="411">
        <v>-397144764339</v>
      </c>
      <c r="H26" s="411">
        <v>-613628111128</v>
      </c>
      <c r="I26" s="411">
        <v>-192800335481</v>
      </c>
    </row>
    <row r="27" spans="1:9" ht="15.45" customHeight="1" outlineLevel="1">
      <c r="A27" s="412" t="s">
        <v>364</v>
      </c>
      <c r="B27" s="412"/>
      <c r="C27" s="412" t="s">
        <v>365</v>
      </c>
      <c r="D27" s="412"/>
      <c r="E27" s="413">
        <v>-2911894836</v>
      </c>
      <c r="F27" s="413">
        <v>-262090909</v>
      </c>
      <c r="G27" s="413">
        <v>-85145283539</v>
      </c>
      <c r="H27" s="413">
        <v>-552939817718</v>
      </c>
      <c r="I27" s="413">
        <v>-98219383903</v>
      </c>
    </row>
    <row r="28" spans="1:9" ht="14.4" outlineLevel="1">
      <c r="A28" s="463" t="s">
        <v>366</v>
      </c>
      <c r="B28" s="412"/>
      <c r="C28" s="412" t="s">
        <v>367</v>
      </c>
      <c r="D28" s="412"/>
      <c r="E28" s="413">
        <v>386363636</v>
      </c>
      <c r="F28" s="413">
        <v>9922527548</v>
      </c>
      <c r="G28" s="413">
        <v>1818413608</v>
      </c>
      <c r="H28" s="413"/>
      <c r="I28" s="413">
        <v>5000000000</v>
      </c>
    </row>
    <row r="29" spans="1:9" ht="14.4" outlineLevel="1">
      <c r="A29" s="412" t="s">
        <v>368</v>
      </c>
      <c r="B29" s="412"/>
      <c r="C29" s="412" t="s">
        <v>369</v>
      </c>
      <c r="D29" s="412"/>
      <c r="E29" s="413">
        <v>-1360000000</v>
      </c>
      <c r="F29" s="413">
        <v>-201466970449</v>
      </c>
      <c r="G29" s="413">
        <v>-146568497700</v>
      </c>
      <c r="H29" s="413">
        <v>-235919838301</v>
      </c>
      <c r="I29" s="413">
        <v>-824373768000</v>
      </c>
    </row>
    <row r="30" spans="1:9" ht="28.8" outlineLevel="1">
      <c r="A30" s="412" t="s">
        <v>370</v>
      </c>
      <c r="B30" s="412"/>
      <c r="C30" s="412" t="s">
        <v>371</v>
      </c>
      <c r="D30" s="412"/>
      <c r="E30" s="413">
        <v>17850000000</v>
      </c>
      <c r="F30" s="413">
        <v>63856855073</v>
      </c>
      <c r="G30" s="413">
        <v>119157887885</v>
      </c>
      <c r="H30" s="413">
        <v>164175766640</v>
      </c>
      <c r="I30" s="413">
        <v>625589460018</v>
      </c>
    </row>
    <row r="31" spans="1:9" ht="14.4" outlineLevel="1">
      <c r="A31" s="412" t="s">
        <v>372</v>
      </c>
      <c r="B31" s="412"/>
      <c r="C31" s="412" t="s">
        <v>373</v>
      </c>
      <c r="D31" s="412"/>
      <c r="E31" s="413">
        <v>-10699782467</v>
      </c>
      <c r="F31" s="413">
        <v>-62822640694</v>
      </c>
      <c r="G31" s="413">
        <v>-343361250000</v>
      </c>
      <c r="H31" s="413">
        <v>-205721247708</v>
      </c>
      <c r="I31" s="413">
        <v>-65678431605</v>
      </c>
    </row>
    <row r="32" spans="1:9" ht="14.4" outlineLevel="1">
      <c r="A32" s="412" t="s">
        <v>374</v>
      </c>
      <c r="B32" s="412"/>
      <c r="C32" s="412" t="s">
        <v>375</v>
      </c>
      <c r="D32" s="412"/>
      <c r="E32" s="413">
        <v>6624547167</v>
      </c>
      <c r="F32" s="413">
        <v>438675501792</v>
      </c>
      <c r="G32" s="413">
        <v>37231370000</v>
      </c>
      <c r="H32" s="413">
        <v>204627695591</v>
      </c>
      <c r="I32" s="413">
        <v>118927369388</v>
      </c>
    </row>
    <row r="33" spans="1:9" ht="14.4" outlineLevel="1">
      <c r="A33" s="412" t="s">
        <v>376</v>
      </c>
      <c r="B33" s="412"/>
      <c r="C33" s="412" t="s">
        <v>377</v>
      </c>
      <c r="D33" s="412"/>
      <c r="E33" s="413">
        <v>1298684586</v>
      </c>
      <c r="F33" s="413">
        <v>45206894794</v>
      </c>
      <c r="G33" s="413">
        <v>19722595407</v>
      </c>
      <c r="H33" s="413">
        <v>12149330368</v>
      </c>
      <c r="I33" s="413">
        <v>45954418621</v>
      </c>
    </row>
    <row r="34" spans="1:9" ht="14.4">
      <c r="A34" s="410" t="s">
        <v>378</v>
      </c>
      <c r="B34" s="410"/>
      <c r="C34" s="410" t="s">
        <v>379</v>
      </c>
      <c r="D34" s="410"/>
      <c r="E34" s="411">
        <v>45121186034</v>
      </c>
      <c r="F34" s="411">
        <v>-105639409412</v>
      </c>
      <c r="G34" s="411">
        <v>571602677581</v>
      </c>
      <c r="H34" s="411">
        <v>383974994343</v>
      </c>
      <c r="I34" s="411">
        <v>337710824236</v>
      </c>
    </row>
    <row r="35" spans="1:9" ht="14.4" outlineLevel="1">
      <c r="A35" s="412" t="s">
        <v>380</v>
      </c>
      <c r="B35" s="412"/>
      <c r="C35" s="412" t="s">
        <v>381</v>
      </c>
      <c r="D35" s="412"/>
      <c r="E35" s="413"/>
      <c r="F35" s="413"/>
      <c r="G35" s="413">
        <v>450000000000</v>
      </c>
      <c r="H35" s="413">
        <v>1767608500</v>
      </c>
      <c r="I35" s="413">
        <v>548175451265</v>
      </c>
    </row>
    <row r="36" spans="1:9" ht="28.8" outlineLevel="1">
      <c r="A36" s="412" t="s">
        <v>382</v>
      </c>
      <c r="B36" s="412"/>
      <c r="C36" s="412" t="s">
        <v>383</v>
      </c>
      <c r="D36" s="412"/>
      <c r="E36" s="413"/>
      <c r="F36" s="413"/>
      <c r="G36" s="413"/>
      <c r="H36" s="413"/>
      <c r="I36" s="413"/>
    </row>
    <row r="37" spans="1:9" ht="14.4" outlineLevel="1">
      <c r="A37" s="412" t="s">
        <v>384</v>
      </c>
      <c r="B37" s="412"/>
      <c r="C37" s="412" t="s">
        <v>385</v>
      </c>
      <c r="D37" s="412"/>
      <c r="E37" s="413">
        <v>230230900461</v>
      </c>
      <c r="F37" s="413">
        <v>132137409754</v>
      </c>
      <c r="G37" s="413">
        <v>564918510949</v>
      </c>
      <c r="H37" s="413">
        <v>634594718729</v>
      </c>
      <c r="I37" s="413">
        <v>492421816680</v>
      </c>
    </row>
    <row r="38" spans="1:9" ht="14.4" outlineLevel="1">
      <c r="A38" s="412" t="s">
        <v>386</v>
      </c>
      <c r="B38" s="412"/>
      <c r="C38" s="412" t="s">
        <v>387</v>
      </c>
      <c r="D38" s="412"/>
      <c r="E38" s="413">
        <v>-185109714427</v>
      </c>
      <c r="F38" s="413">
        <v>-237776819166</v>
      </c>
      <c r="G38" s="413">
        <v>-443315833368</v>
      </c>
      <c r="H38" s="413">
        <v>-252387332886</v>
      </c>
      <c r="I38" s="413">
        <v>-701603005309</v>
      </c>
    </row>
    <row r="39" spans="1:9" ht="14.4" outlineLevel="1">
      <c r="A39" s="412" t="s">
        <v>388</v>
      </c>
      <c r="B39" s="412"/>
      <c r="C39" s="412" t="s">
        <v>389</v>
      </c>
      <c r="D39" s="412"/>
      <c r="E39" s="413"/>
      <c r="F39" s="413"/>
      <c r="G39" s="413"/>
      <c r="H39" s="413"/>
      <c r="I39" s="413"/>
    </row>
    <row r="40" spans="1:9" ht="14.4" outlineLevel="1">
      <c r="A40" s="412" t="s">
        <v>390</v>
      </c>
      <c r="B40" s="412"/>
      <c r="C40" s="412" t="s">
        <v>391</v>
      </c>
      <c r="D40" s="412"/>
      <c r="E40" s="413"/>
      <c r="F40" s="413"/>
      <c r="G40" s="413"/>
      <c r="H40" s="413"/>
      <c r="I40" s="413">
        <v>-1283438400</v>
      </c>
    </row>
    <row r="41" spans="1:9" ht="14.4" outlineLevel="1">
      <c r="A41" s="412" t="s">
        <v>392</v>
      </c>
      <c r="B41" s="412"/>
      <c r="C41" s="412" t="s">
        <v>393</v>
      </c>
      <c r="D41" s="412"/>
      <c r="E41" s="413"/>
      <c r="F41" s="413"/>
      <c r="G41" s="413"/>
      <c r="H41" s="413"/>
      <c r="I41" s="413"/>
    </row>
    <row r="42" spans="1:9" ht="14.4">
      <c r="A42" s="464" t="s">
        <v>394</v>
      </c>
      <c r="B42" s="464"/>
      <c r="C42" s="464" t="s">
        <v>395</v>
      </c>
      <c r="D42" s="464"/>
      <c r="E42" s="465">
        <v>-32091269398</v>
      </c>
      <c r="F42" s="465">
        <v>22151787990</v>
      </c>
      <c r="G42" s="465">
        <v>-18011674507</v>
      </c>
      <c r="H42" s="465">
        <v>127774734821</v>
      </c>
      <c r="I42" s="465">
        <v>152275915613</v>
      </c>
    </row>
    <row r="43" spans="1:9" ht="14.4">
      <c r="A43" s="466" t="s">
        <v>396</v>
      </c>
      <c r="B43" s="466"/>
      <c r="C43" s="466" t="s">
        <v>397</v>
      </c>
      <c r="D43" s="466"/>
      <c r="E43" s="413">
        <v>36412495272</v>
      </c>
      <c r="F43" s="413">
        <v>4321225874</v>
      </c>
      <c r="G43" s="413">
        <v>26473013864</v>
      </c>
      <c r="H43" s="413">
        <v>8461339357</v>
      </c>
      <c r="I43" s="413">
        <v>136236074178</v>
      </c>
    </row>
    <row r="44" spans="1:9" ht="14.4">
      <c r="A44" s="412" t="s">
        <v>398</v>
      </c>
      <c r="B44" s="412"/>
      <c r="C44" s="412" t="s">
        <v>399</v>
      </c>
      <c r="D44" s="412"/>
      <c r="E44" s="413"/>
      <c r="F44" s="413"/>
      <c r="G44" s="413"/>
      <c r="H44" s="413"/>
      <c r="I44" s="413">
        <v>12191451</v>
      </c>
    </row>
    <row r="45" spans="1:9" ht="14.4">
      <c r="A45" s="467" t="s">
        <v>400</v>
      </c>
      <c r="B45" s="467"/>
      <c r="C45" s="467" t="s">
        <v>401</v>
      </c>
      <c r="D45" s="467"/>
      <c r="E45" s="413">
        <v>4321225874</v>
      </c>
      <c r="F45" s="413">
        <v>26473013864</v>
      </c>
      <c r="G45" s="413">
        <v>8461339357</v>
      </c>
      <c r="H45" s="413">
        <v>136236074178</v>
      </c>
      <c r="I45" s="413">
        <v>288524181242</v>
      </c>
    </row>
    <row r="46" spans="1:9" ht="14.4">
      <c r="A46" s="245"/>
      <c r="B46" s="245"/>
      <c r="C46" s="245"/>
      <c r="D46" s="245"/>
      <c r="E46" s="460"/>
      <c r="F46" s="460"/>
      <c r="G46" s="460"/>
      <c r="H46" s="460"/>
      <c r="I46" s="460"/>
    </row>
    <row r="47" spans="1:9" ht="14.4">
      <c r="A47" s="415" t="s">
        <v>244</v>
      </c>
      <c r="B47" s="415"/>
      <c r="C47" s="415"/>
      <c r="D47" s="245"/>
      <c r="E47" s="461"/>
      <c r="F47" s="461"/>
      <c r="G47" s="461"/>
      <c r="H47" s="461"/>
      <c r="I47" s="461"/>
    </row>
    <row r="48" spans="1:9" ht="14.4">
      <c r="A48" s="425" t="s">
        <v>402</v>
      </c>
      <c r="B48" s="425"/>
      <c r="C48" s="425" t="s">
        <v>403</v>
      </c>
      <c r="D48" s="468"/>
      <c r="E48" s="469">
        <f>E15-(E6+SUM(E7:E14))</f>
        <v>0</v>
      </c>
      <c r="F48" s="469">
        <f>F15-(F6+SUM(F7:F14))</f>
        <v>0</v>
      </c>
      <c r="G48" s="469">
        <f>G15-(G6+SUM(G7:G14))</f>
        <v>0</v>
      </c>
      <c r="H48" s="470">
        <f>H15-(H6+SUM(H7:H14))</f>
        <v>0</v>
      </c>
      <c r="I48" s="471">
        <f>I15-(I6+SUM(I7:I14))</f>
        <v>0</v>
      </c>
    </row>
    <row r="49" spans="1:9" ht="14.4">
      <c r="A49" s="430" t="s">
        <v>404</v>
      </c>
      <c r="B49" s="430"/>
      <c r="C49" s="430" t="s">
        <v>405</v>
      </c>
      <c r="D49" s="472"/>
      <c r="E49" s="471">
        <f>E15+SUM(E16:E24)-E25</f>
        <v>0</v>
      </c>
      <c r="F49" s="471">
        <f>F15+SUM(F16:F24)-F25</f>
        <v>0</v>
      </c>
      <c r="G49" s="471">
        <f t="shared" ref="G49:H49" si="0">G15+SUM(G16:G24)-G25</f>
        <v>0</v>
      </c>
      <c r="H49" s="473">
        <f t="shared" si="0"/>
        <v>0</v>
      </c>
      <c r="I49" s="471">
        <f>I15+SUM(I16:I24)-I25</f>
        <v>0</v>
      </c>
    </row>
    <row r="50" spans="1:9" ht="14.4">
      <c r="A50" s="430" t="s">
        <v>406</v>
      </c>
      <c r="B50" s="430"/>
      <c r="C50" s="430" t="s">
        <v>407</v>
      </c>
      <c r="D50" s="472"/>
      <c r="E50" s="471">
        <f>E26-SUM(E27:E33)</f>
        <v>0</v>
      </c>
      <c r="F50" s="471">
        <f t="shared" ref="F50:H50" si="1">F26-SUM(F27:F33)</f>
        <v>0</v>
      </c>
      <c r="G50" s="471">
        <f t="shared" si="1"/>
        <v>0</v>
      </c>
      <c r="H50" s="473">
        <f t="shared" si="1"/>
        <v>0</v>
      </c>
      <c r="I50" s="471">
        <f>I26-SUM(I27:I33)</f>
        <v>0</v>
      </c>
    </row>
    <row r="51" spans="1:9" ht="14.4">
      <c r="A51" s="430" t="s">
        <v>408</v>
      </c>
      <c r="B51" s="430"/>
      <c r="C51" s="430" t="s">
        <v>409</v>
      </c>
      <c r="D51" s="472"/>
      <c r="E51" s="471">
        <f t="shared" ref="E51:F51" si="2">E34-SUM(E35:E41)</f>
        <v>0</v>
      </c>
      <c r="F51" s="471">
        <f t="shared" si="2"/>
        <v>0</v>
      </c>
      <c r="G51" s="471">
        <f>G34-SUM(G35:G41)</f>
        <v>0</v>
      </c>
      <c r="H51" s="473">
        <f>H34-SUM(H35:H41)</f>
        <v>0</v>
      </c>
      <c r="I51" s="471">
        <f>I34-SUM(I35:I41)</f>
        <v>0</v>
      </c>
    </row>
    <row r="52" spans="1:9" ht="14.4">
      <c r="A52" s="430" t="s">
        <v>410</v>
      </c>
      <c r="B52" s="430"/>
      <c r="C52" s="430" t="s">
        <v>411</v>
      </c>
      <c r="D52" s="472"/>
      <c r="E52" s="471">
        <f t="shared" ref="E52:H52" si="3">E25+E26+E34-E42</f>
        <v>0</v>
      </c>
      <c r="F52" s="471">
        <f t="shared" si="3"/>
        <v>0</v>
      </c>
      <c r="G52" s="471">
        <f t="shared" si="3"/>
        <v>0</v>
      </c>
      <c r="H52" s="473">
        <f t="shared" si="3"/>
        <v>0</v>
      </c>
      <c r="I52" s="471">
        <f>I25+I26+I34-I42</f>
        <v>0</v>
      </c>
    </row>
    <row r="53" spans="1:9" ht="14.4">
      <c r="A53" s="433" t="s">
        <v>412</v>
      </c>
      <c r="B53" s="433"/>
      <c r="C53" s="433" t="s">
        <v>413</v>
      </c>
      <c r="D53" s="474"/>
      <c r="E53" s="475">
        <f t="shared" ref="E53:H53" si="4">E43+E42+E44-E45</f>
        <v>0</v>
      </c>
      <c r="F53" s="475">
        <f t="shared" si="4"/>
        <v>0</v>
      </c>
      <c r="G53" s="475">
        <f t="shared" si="4"/>
        <v>0</v>
      </c>
      <c r="H53" s="476">
        <f t="shared" si="4"/>
        <v>0</v>
      </c>
      <c r="I53" s="471">
        <f>I43+I42+I44-I45</f>
        <v>0</v>
      </c>
    </row>
  </sheetData>
  <mergeCells count="2">
    <mergeCell ref="A1:A2"/>
    <mergeCell ref="C1:C2"/>
  </mergeCells>
  <conditionalFormatting sqref="E48:I53">
    <cfRule type="cellIs" dxfId="25" priority="1" operator="equal">
      <formula>0</formula>
    </cfRule>
    <cfRule type="cellIs" dxfId="24" priority="2" operator="not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050F-7FC4-472D-A780-ADF1002CE960}">
  <sheetPr>
    <tabColor theme="9"/>
  </sheetPr>
  <dimension ref="A1:I177"/>
  <sheetViews>
    <sheetView zoomScaleNormal="100" workbookViewId="0">
      <pane xSplit="3" ySplit="5" topLeftCell="D6" activePane="bottomRight" state="frozen"/>
      <selection pane="topRight" activeCell="C1" sqref="C1"/>
      <selection pane="bottomLeft" activeCell="A6" sqref="A6"/>
      <selection pane="bottomRight" activeCell="I161" sqref="I161"/>
    </sheetView>
  </sheetViews>
  <sheetFormatPr defaultRowHeight="15" customHeight="1" outlineLevelRow="1" outlineLevelCol="1"/>
  <cols>
    <col min="1" max="1" width="42.5546875" bestFit="1" customWidth="1" outlineLevel="1"/>
    <col min="2" max="2" width="2.88671875" customWidth="1"/>
    <col min="3" max="3" width="54.5546875" bestFit="1" customWidth="1" outlineLevel="1"/>
    <col min="4" max="4" width="2.88671875" customWidth="1"/>
    <col min="5" max="8" width="7.88671875" bestFit="1" customWidth="1"/>
    <col min="9" max="9" width="5.21875" bestFit="1" customWidth="1"/>
  </cols>
  <sheetData>
    <row r="1" spans="1:9" ht="14.4">
      <c r="A1" s="666" t="s">
        <v>414</v>
      </c>
      <c r="B1" s="275"/>
      <c r="C1" s="666" t="s">
        <v>1</v>
      </c>
      <c r="D1" s="275"/>
      <c r="E1" s="400"/>
      <c r="F1" s="400"/>
      <c r="G1" s="400"/>
      <c r="H1" s="400"/>
      <c r="I1" s="401"/>
    </row>
    <row r="2" spans="1:9" thickBot="1">
      <c r="A2" s="667"/>
      <c r="B2" s="276"/>
      <c r="C2" s="667"/>
      <c r="D2" s="276"/>
      <c r="E2" s="404">
        <f>'IP_BS Raw'!E2</f>
        <v>2021</v>
      </c>
      <c r="F2" s="404">
        <f>'IP_BS Raw'!F2</f>
        <v>2022</v>
      </c>
      <c r="G2" s="404">
        <f>'IP_BS Raw'!G2</f>
        <v>2023</v>
      </c>
      <c r="H2" s="404">
        <f>'IP_BS Raw'!H2</f>
        <v>2024</v>
      </c>
      <c r="I2" s="405">
        <f>'IP_BS Raw'!I2</f>
        <v>2025</v>
      </c>
    </row>
    <row r="3" spans="1:9" ht="14.4">
      <c r="A3" s="406" t="s">
        <v>2</v>
      </c>
      <c r="B3" s="406"/>
      <c r="C3" s="406" t="s">
        <v>3</v>
      </c>
      <c r="D3" s="406"/>
      <c r="E3" s="450"/>
      <c r="F3" s="450"/>
      <c r="G3" s="450"/>
      <c r="H3" s="450"/>
      <c r="I3" s="450"/>
    </row>
    <row r="4" spans="1:9" ht="14.4">
      <c r="A4" s="406" t="s">
        <v>4</v>
      </c>
      <c r="B4" s="406"/>
      <c r="C4" s="406" t="s">
        <v>5</v>
      </c>
      <c r="D4" s="406"/>
      <c r="E4" s="450" t="s">
        <v>973</v>
      </c>
      <c r="F4" s="450" t="s">
        <v>973</v>
      </c>
      <c r="G4" s="450" t="s">
        <v>973</v>
      </c>
      <c r="H4" s="450" t="s">
        <v>973</v>
      </c>
      <c r="I4" s="450" t="s">
        <v>973</v>
      </c>
    </row>
    <row r="5" spans="1:9" ht="14.4">
      <c r="A5" s="406" t="s">
        <v>6</v>
      </c>
      <c r="B5" s="406"/>
      <c r="C5" s="406" t="s">
        <v>7</v>
      </c>
      <c r="D5" s="406"/>
      <c r="E5" s="450"/>
      <c r="F5" s="450"/>
      <c r="G5" s="450"/>
      <c r="H5" s="450"/>
      <c r="I5" s="450"/>
    </row>
    <row r="6" spans="1:9" s="4" customFormat="1" ht="14.4">
      <c r="A6" s="462" t="s">
        <v>10</v>
      </c>
      <c r="B6" s="462"/>
      <c r="C6" s="462" t="s">
        <v>11</v>
      </c>
      <c r="D6" s="462"/>
      <c r="E6" s="479">
        <f t="shared" ref="E6:H6" si="0">SUM(E7:E10)</f>
        <v>1013594183927</v>
      </c>
      <c r="F6" s="479">
        <f t="shared" si="0"/>
        <v>360383344706</v>
      </c>
      <c r="G6" s="479">
        <f t="shared" si="0"/>
        <v>370506274358</v>
      </c>
      <c r="H6" s="479">
        <f t="shared" si="0"/>
        <v>546631384396</v>
      </c>
      <c r="I6" s="480"/>
    </row>
    <row r="7" spans="1:9" ht="14.4" outlineLevel="1">
      <c r="A7" s="412" t="s">
        <v>415</v>
      </c>
      <c r="B7" s="412"/>
      <c r="C7" s="412" t="s">
        <v>416</v>
      </c>
      <c r="D7" s="412"/>
      <c r="E7" s="481">
        <v>3244275331</v>
      </c>
      <c r="F7" s="481">
        <v>1920102424</v>
      </c>
      <c r="G7" s="481">
        <v>2716321651</v>
      </c>
      <c r="H7" s="481">
        <v>2254810590</v>
      </c>
      <c r="I7" s="481"/>
    </row>
    <row r="8" spans="1:9" ht="14.4" outlineLevel="1">
      <c r="A8" s="412" t="s">
        <v>417</v>
      </c>
      <c r="B8" s="412"/>
      <c r="C8" s="412" t="s">
        <v>418</v>
      </c>
      <c r="D8" s="412"/>
      <c r="E8" s="481">
        <v>648427921167</v>
      </c>
      <c r="F8" s="481">
        <v>78670488857</v>
      </c>
      <c r="G8" s="481">
        <v>132889952707</v>
      </c>
      <c r="H8" s="481">
        <v>337856573806</v>
      </c>
      <c r="I8" s="481"/>
    </row>
    <row r="9" spans="1:9" ht="14.4" outlineLevel="1">
      <c r="A9" s="412" t="s">
        <v>419</v>
      </c>
      <c r="B9" s="412"/>
      <c r="C9" s="412" t="s">
        <v>420</v>
      </c>
      <c r="D9" s="412"/>
      <c r="E9" s="481"/>
      <c r="F9" s="481"/>
      <c r="G9" s="481"/>
      <c r="H9" s="481"/>
      <c r="I9" s="481"/>
    </row>
    <row r="10" spans="1:9" ht="14.4" outlineLevel="1">
      <c r="A10" s="412" t="s">
        <v>421</v>
      </c>
      <c r="B10" s="412"/>
      <c r="C10" s="412" t="s">
        <v>15</v>
      </c>
      <c r="D10" s="466"/>
      <c r="E10" s="481">
        <v>361921987429</v>
      </c>
      <c r="F10" s="481">
        <v>279792753425</v>
      </c>
      <c r="G10" s="481">
        <v>234900000000</v>
      </c>
      <c r="H10" s="481">
        <v>206520000000</v>
      </c>
      <c r="I10" s="481"/>
    </row>
    <row r="11" spans="1:9" s="4" customFormat="1" ht="14.4">
      <c r="A11" s="410" t="s">
        <v>422</v>
      </c>
      <c r="B11" s="410"/>
      <c r="C11" s="410" t="s">
        <v>17</v>
      </c>
      <c r="D11" s="410"/>
      <c r="E11" s="482">
        <f t="shared" ref="E11:H11" si="1">SUM(E12:E17)</f>
        <v>605103106257</v>
      </c>
      <c r="F11" s="482">
        <f t="shared" si="1"/>
        <v>726047961971</v>
      </c>
      <c r="G11" s="482">
        <f t="shared" si="1"/>
        <v>1895233763147</v>
      </c>
      <c r="H11" s="482">
        <f t="shared" si="1"/>
        <v>1565695561055</v>
      </c>
      <c r="I11" s="482"/>
    </row>
    <row r="12" spans="1:9" ht="14.4" outlineLevel="1">
      <c r="A12" s="412" t="s">
        <v>423</v>
      </c>
      <c r="B12" s="412"/>
      <c r="C12" s="412" t="s">
        <v>424</v>
      </c>
      <c r="D12" s="412"/>
      <c r="E12" s="481">
        <v>0</v>
      </c>
      <c r="F12" s="481">
        <v>0</v>
      </c>
      <c r="G12" s="481">
        <v>0</v>
      </c>
      <c r="H12" s="481">
        <v>546648172508</v>
      </c>
      <c r="I12" s="481"/>
    </row>
    <row r="13" spans="1:9" ht="14.4" outlineLevel="1">
      <c r="A13" s="412" t="s">
        <v>22</v>
      </c>
      <c r="B13" s="412"/>
      <c r="C13" s="412" t="s">
        <v>23</v>
      </c>
      <c r="D13" s="412"/>
      <c r="E13" s="481">
        <v>98700000000</v>
      </c>
      <c r="F13" s="481">
        <v>239367439500</v>
      </c>
      <c r="G13" s="481">
        <v>425016299943</v>
      </c>
      <c r="H13" s="481">
        <v>285750000000</v>
      </c>
      <c r="I13" s="481"/>
    </row>
    <row r="14" spans="1:9" ht="14.4" outlineLevel="1">
      <c r="A14" s="412" t="s">
        <v>18</v>
      </c>
      <c r="B14" s="412"/>
      <c r="C14" s="412" t="s">
        <v>425</v>
      </c>
      <c r="D14" s="412"/>
      <c r="E14" s="481">
        <v>0</v>
      </c>
      <c r="F14" s="481">
        <v>0</v>
      </c>
      <c r="G14" s="481">
        <v>0</v>
      </c>
      <c r="H14" s="481">
        <v>0</v>
      </c>
      <c r="I14" s="481"/>
    </row>
    <row r="15" spans="1:9" ht="14.4" outlineLevel="1">
      <c r="A15" s="412" t="s">
        <v>426</v>
      </c>
      <c r="B15" s="412"/>
      <c r="C15" s="412" t="s">
        <v>427</v>
      </c>
      <c r="D15" s="412"/>
      <c r="E15" s="481">
        <v>506248106257</v>
      </c>
      <c r="F15" s="481">
        <v>486525522471</v>
      </c>
      <c r="G15" s="481">
        <v>1470062463204</v>
      </c>
      <c r="H15" s="481">
        <v>759207263714</v>
      </c>
      <c r="I15" s="481"/>
    </row>
    <row r="16" spans="1:9" ht="14.4" outlineLevel="1">
      <c r="A16" s="412" t="s">
        <v>965</v>
      </c>
      <c r="B16" s="412"/>
      <c r="C16" s="412" t="s">
        <v>428</v>
      </c>
      <c r="D16" s="483"/>
      <c r="E16" s="481">
        <v>155000000</v>
      </c>
      <c r="F16" s="481">
        <v>155000000</v>
      </c>
      <c r="G16" s="481">
        <v>155000000</v>
      </c>
      <c r="H16" s="481">
        <v>155000000</v>
      </c>
      <c r="I16" s="481"/>
    </row>
    <row r="17" spans="1:9" ht="14.4" outlineLevel="1">
      <c r="A17" s="412" t="s">
        <v>429</v>
      </c>
      <c r="B17" s="412"/>
      <c r="C17" s="412" t="s">
        <v>430</v>
      </c>
      <c r="D17" s="483"/>
      <c r="E17" s="481">
        <v>0</v>
      </c>
      <c r="F17" s="481">
        <v>0</v>
      </c>
      <c r="G17" s="481">
        <v>0</v>
      </c>
      <c r="H17" s="481">
        <v>-26064875167</v>
      </c>
      <c r="I17" s="481"/>
    </row>
    <row r="18" spans="1:9" s="4" customFormat="1" ht="14.4">
      <c r="A18" s="410" t="s">
        <v>431</v>
      </c>
      <c r="B18" s="410"/>
      <c r="C18" s="410" t="s">
        <v>432</v>
      </c>
      <c r="D18" s="484"/>
      <c r="E18" s="482">
        <f t="shared" ref="E18:H18" si="2">SUM(E19:E22)</f>
        <v>230385593342</v>
      </c>
      <c r="F18" s="482">
        <f t="shared" si="2"/>
        <v>552878196157</v>
      </c>
      <c r="G18" s="482">
        <f t="shared" si="2"/>
        <v>452823464628</v>
      </c>
      <c r="H18" s="482">
        <f t="shared" si="2"/>
        <v>339817693240</v>
      </c>
      <c r="I18" s="482"/>
    </row>
    <row r="19" spans="1:9" ht="14.4" outlineLevel="1">
      <c r="A19" s="412" t="s">
        <v>966</v>
      </c>
      <c r="B19" s="412"/>
      <c r="C19" s="412" t="s">
        <v>967</v>
      </c>
      <c r="D19" s="483"/>
      <c r="E19" s="481">
        <v>210870194878</v>
      </c>
      <c r="F19" s="481">
        <v>188497724901</v>
      </c>
      <c r="G19" s="481">
        <v>205263011710</v>
      </c>
      <c r="H19" s="481">
        <v>236744183566</v>
      </c>
      <c r="I19" s="481"/>
    </row>
    <row r="20" spans="1:9" ht="14.4" outlineLevel="1">
      <c r="A20" s="412" t="s">
        <v>433</v>
      </c>
      <c r="B20" s="412"/>
      <c r="C20" s="412" t="s">
        <v>434</v>
      </c>
      <c r="D20" s="483"/>
      <c r="E20" s="481">
        <v>0</v>
      </c>
      <c r="F20" s="481">
        <v>0</v>
      </c>
      <c r="G20" s="481">
        <v>0</v>
      </c>
      <c r="H20" s="481">
        <v>0</v>
      </c>
      <c r="I20" s="481"/>
    </row>
    <row r="21" spans="1:9" ht="14.4" outlineLevel="1">
      <c r="A21" s="412" t="s">
        <v>435</v>
      </c>
      <c r="B21" s="412"/>
      <c r="C21" s="412" t="s">
        <v>436</v>
      </c>
      <c r="D21" s="483"/>
      <c r="E21" s="481">
        <v>0</v>
      </c>
      <c r="F21" s="481">
        <v>0</v>
      </c>
      <c r="G21" s="481">
        <v>0</v>
      </c>
      <c r="H21" s="481">
        <v>0</v>
      </c>
      <c r="I21" s="481"/>
    </row>
    <row r="22" spans="1:9" ht="14.4" outlineLevel="1">
      <c r="A22" s="412" t="s">
        <v>36</v>
      </c>
      <c r="B22" s="412"/>
      <c r="C22" s="412" t="s">
        <v>37</v>
      </c>
      <c r="D22" s="483"/>
      <c r="E22" s="481">
        <v>19515398464</v>
      </c>
      <c r="F22" s="481">
        <v>364380471256</v>
      </c>
      <c r="G22" s="481">
        <v>247560452918</v>
      </c>
      <c r="H22" s="481">
        <v>103073509674</v>
      </c>
      <c r="I22" s="481"/>
    </row>
    <row r="23" spans="1:9" s="4" customFormat="1" ht="14.4">
      <c r="A23" s="410" t="s">
        <v>437</v>
      </c>
      <c r="B23" s="410"/>
      <c r="C23" s="410" t="s">
        <v>438</v>
      </c>
      <c r="D23" s="484"/>
      <c r="E23" s="482">
        <f t="shared" ref="E23:G23" si="3">SUM(E24:E32)</f>
        <v>21111762403</v>
      </c>
      <c r="F23" s="482">
        <f t="shared" si="3"/>
        <v>28028085828</v>
      </c>
      <c r="G23" s="482">
        <f t="shared" si="3"/>
        <v>29065056002</v>
      </c>
      <c r="H23" s="482">
        <f>SUM(H24:H32)</f>
        <v>47470252892</v>
      </c>
      <c r="I23" s="482"/>
    </row>
    <row r="24" spans="1:9" ht="14.4" outlineLevel="1">
      <c r="A24" s="412" t="s">
        <v>439</v>
      </c>
      <c r="B24" s="412"/>
      <c r="C24" s="412" t="s">
        <v>440</v>
      </c>
      <c r="D24" s="483"/>
      <c r="E24" s="481"/>
      <c r="F24" s="481"/>
      <c r="G24" s="481"/>
      <c r="H24" s="481"/>
      <c r="I24" s="481"/>
    </row>
    <row r="25" spans="1:9" ht="14.4" outlineLevel="1">
      <c r="A25" s="412" t="s">
        <v>441</v>
      </c>
      <c r="B25" s="412"/>
      <c r="C25" s="412" t="s">
        <v>442</v>
      </c>
      <c r="D25" s="483"/>
      <c r="E25" s="481">
        <v>1625309134</v>
      </c>
      <c r="F25" s="481">
        <v>1213108434</v>
      </c>
      <c r="G25" s="481">
        <v>3078477109</v>
      </c>
      <c r="H25" s="481">
        <v>4645504999</v>
      </c>
      <c r="I25" s="481"/>
    </row>
    <row r="26" spans="1:9" ht="14.4" outlineLevel="1">
      <c r="A26" s="412" t="s">
        <v>443</v>
      </c>
      <c r="B26" s="412"/>
      <c r="C26" s="412" t="s">
        <v>444</v>
      </c>
      <c r="D26" s="483"/>
      <c r="E26" s="481">
        <v>18206378530</v>
      </c>
      <c r="F26" s="481">
        <v>26814977394</v>
      </c>
      <c r="G26" s="481">
        <v>25921243401</v>
      </c>
      <c r="H26" s="481">
        <v>40545685394</v>
      </c>
      <c r="I26" s="481"/>
    </row>
    <row r="27" spans="1:9" ht="14.4" outlineLevel="1">
      <c r="A27" s="412" t="s">
        <v>445</v>
      </c>
      <c r="B27" s="412"/>
      <c r="C27" s="412" t="s">
        <v>446</v>
      </c>
      <c r="D27" s="483"/>
      <c r="E27" s="481"/>
      <c r="F27" s="481"/>
      <c r="G27" s="481"/>
      <c r="H27" s="481"/>
      <c r="I27" s="481"/>
    </row>
    <row r="28" spans="1:9" ht="14.4" outlineLevel="1">
      <c r="A28" s="412" t="s">
        <v>447</v>
      </c>
      <c r="B28" s="412"/>
      <c r="C28" s="412" t="s">
        <v>448</v>
      </c>
      <c r="D28" s="483"/>
      <c r="E28" s="481"/>
      <c r="F28" s="481"/>
      <c r="G28" s="481"/>
      <c r="H28" s="481"/>
      <c r="I28" s="481"/>
    </row>
    <row r="29" spans="1:9" ht="14.4" outlineLevel="1">
      <c r="A29" s="412" t="s">
        <v>449</v>
      </c>
      <c r="B29" s="412"/>
      <c r="C29" s="412" t="s">
        <v>450</v>
      </c>
      <c r="D29" s="483"/>
      <c r="E29" s="481">
        <v>1280074739</v>
      </c>
      <c r="F29" s="481"/>
      <c r="G29" s="481">
        <v>65335492</v>
      </c>
      <c r="H29" s="481">
        <v>2279062499</v>
      </c>
      <c r="I29" s="481"/>
    </row>
    <row r="30" spans="1:9" ht="14.4" outlineLevel="1">
      <c r="A30" s="412" t="s">
        <v>451</v>
      </c>
      <c r="B30" s="412"/>
      <c r="C30" s="412" t="s">
        <v>452</v>
      </c>
      <c r="D30" s="483"/>
      <c r="E30" s="481"/>
      <c r="F30" s="481"/>
      <c r="G30" s="481"/>
      <c r="H30" s="481"/>
      <c r="I30" s="481"/>
    </row>
    <row r="31" spans="1:9" ht="14.4" outlineLevel="1">
      <c r="A31" s="412" t="s">
        <v>453</v>
      </c>
      <c r="B31" s="412"/>
      <c r="C31" s="412" t="s">
        <v>454</v>
      </c>
      <c r="D31" s="483"/>
      <c r="E31" s="481"/>
      <c r="F31" s="481"/>
      <c r="G31" s="481"/>
      <c r="H31" s="481"/>
      <c r="I31" s="481"/>
    </row>
    <row r="32" spans="1:9" ht="14.4" outlineLevel="1">
      <c r="A32" s="412" t="s">
        <v>455</v>
      </c>
      <c r="B32" s="412"/>
      <c r="C32" s="412" t="s">
        <v>456</v>
      </c>
      <c r="D32" s="483"/>
      <c r="E32" s="481"/>
      <c r="F32" s="481"/>
      <c r="G32" s="481"/>
      <c r="H32" s="481"/>
      <c r="I32" s="481"/>
    </row>
    <row r="33" spans="1:9" s="4" customFormat="1" ht="14.4">
      <c r="A33" s="410" t="s">
        <v>457</v>
      </c>
      <c r="B33" s="410"/>
      <c r="C33" s="410" t="s">
        <v>49</v>
      </c>
      <c r="D33" s="484"/>
      <c r="E33" s="482">
        <f t="shared" ref="E33:H33" si="4">SUM(E34:E37)</f>
        <v>76753394195</v>
      </c>
      <c r="F33" s="482">
        <f t="shared" si="4"/>
        <v>43834422724</v>
      </c>
      <c r="G33" s="482">
        <f t="shared" si="4"/>
        <v>57164184694</v>
      </c>
      <c r="H33" s="482">
        <f t="shared" si="4"/>
        <v>56247437211</v>
      </c>
      <c r="I33" s="482"/>
    </row>
    <row r="34" spans="1:9" ht="14.4" outlineLevel="1">
      <c r="A34" s="412" t="s">
        <v>458</v>
      </c>
      <c r="B34" s="412"/>
      <c r="C34" s="412" t="s">
        <v>459</v>
      </c>
      <c r="D34" s="483"/>
      <c r="E34" s="481">
        <v>22926052350</v>
      </c>
      <c r="F34" s="481">
        <v>43834422724</v>
      </c>
      <c r="G34" s="481">
        <v>20161906312</v>
      </c>
      <c r="H34" s="481">
        <f>17693351014</f>
        <v>17693351014</v>
      </c>
      <c r="I34" s="481"/>
    </row>
    <row r="35" spans="1:9" ht="14.4" outlineLevel="1">
      <c r="A35" s="412" t="s">
        <v>40</v>
      </c>
      <c r="B35" s="412"/>
      <c r="C35" s="412" t="s">
        <v>460</v>
      </c>
      <c r="D35" s="483"/>
      <c r="E35" s="481"/>
      <c r="F35" s="481"/>
      <c r="G35" s="481"/>
      <c r="H35" s="481"/>
      <c r="I35" s="481"/>
    </row>
    <row r="36" spans="1:9" ht="14.4" outlineLevel="1">
      <c r="A36" s="412" t="s">
        <v>461</v>
      </c>
      <c r="B36" s="412"/>
      <c r="C36" s="412" t="s">
        <v>462</v>
      </c>
      <c r="D36" s="483"/>
      <c r="E36" s="481"/>
      <c r="F36" s="481"/>
      <c r="G36" s="481"/>
      <c r="H36" s="481"/>
      <c r="I36" s="481"/>
    </row>
    <row r="37" spans="1:9" ht="14.4" outlineLevel="1">
      <c r="A37" s="412" t="s">
        <v>463</v>
      </c>
      <c r="B37" s="412"/>
      <c r="C37" s="412" t="s">
        <v>464</v>
      </c>
      <c r="D37" s="483"/>
      <c r="E37" s="481">
        <f>52585960594+1241381251</f>
        <v>53827341845</v>
      </c>
      <c r="F37" s="481"/>
      <c r="G37" s="481">
        <f>35389709327+1612569055</f>
        <v>37002278382</v>
      </c>
      <c r="H37" s="481">
        <f>35639643041+2914443156</f>
        <v>38554086197</v>
      </c>
      <c r="I37" s="481"/>
    </row>
    <row r="38" spans="1:9" s="4" customFormat="1" ht="14.4">
      <c r="A38" s="410" t="s">
        <v>465</v>
      </c>
      <c r="B38" s="410"/>
      <c r="C38" s="410" t="s">
        <v>466</v>
      </c>
      <c r="D38" s="484"/>
      <c r="E38" s="482">
        <f t="shared" ref="E38:G38" si="5">SUM(E39:E42)</f>
        <v>2333534000</v>
      </c>
      <c r="F38" s="482">
        <f t="shared" si="5"/>
        <v>827194723552</v>
      </c>
      <c r="G38" s="482">
        <f t="shared" si="5"/>
        <v>827194723552</v>
      </c>
      <c r="H38" s="482">
        <f>SUM(H39:H42)</f>
        <v>3624576352</v>
      </c>
      <c r="I38" s="482"/>
    </row>
    <row r="39" spans="1:9" ht="14.4" outlineLevel="1">
      <c r="A39" s="412" t="s">
        <v>467</v>
      </c>
      <c r="B39" s="412"/>
      <c r="C39" s="412" t="s">
        <v>468</v>
      </c>
      <c r="D39" s="483"/>
      <c r="E39" s="481"/>
      <c r="F39" s="481"/>
      <c r="G39" s="481"/>
      <c r="H39" s="481"/>
      <c r="I39" s="481"/>
    </row>
    <row r="40" spans="1:9" ht="14.4" outlineLevel="1">
      <c r="A40" s="412" t="s">
        <v>469</v>
      </c>
      <c r="B40" s="412"/>
      <c r="C40" s="412" t="s">
        <v>470</v>
      </c>
      <c r="D40" s="483"/>
      <c r="E40" s="481"/>
      <c r="F40" s="481"/>
      <c r="G40" s="481"/>
      <c r="H40" s="481"/>
      <c r="I40" s="481"/>
    </row>
    <row r="41" spans="1:9" ht="14.4" outlineLevel="1">
      <c r="A41" s="412" t="s">
        <v>471</v>
      </c>
      <c r="B41" s="412"/>
      <c r="C41" s="412" t="s">
        <v>472</v>
      </c>
      <c r="D41" s="483"/>
      <c r="E41" s="481"/>
      <c r="F41" s="481"/>
      <c r="G41" s="481"/>
      <c r="H41" s="481"/>
      <c r="I41" s="481"/>
    </row>
    <row r="42" spans="1:9" ht="14.4" outlineLevel="1">
      <c r="A42" s="412" t="s">
        <v>74</v>
      </c>
      <c r="B42" s="412"/>
      <c r="C42" s="412" t="s">
        <v>473</v>
      </c>
      <c r="D42" s="483"/>
      <c r="E42" s="481">
        <v>2333534000</v>
      </c>
      <c r="F42" s="481">
        <v>827194723552</v>
      </c>
      <c r="G42" s="481">
        <v>827194723552</v>
      </c>
      <c r="H42" s="481">
        <v>3624576352</v>
      </c>
      <c r="I42" s="481"/>
    </row>
    <row r="43" spans="1:9" s="4" customFormat="1" ht="14.4">
      <c r="A43" s="410" t="s">
        <v>474</v>
      </c>
      <c r="B43" s="410"/>
      <c r="C43" s="410" t="s">
        <v>475</v>
      </c>
      <c r="D43" s="484"/>
      <c r="E43" s="482">
        <f t="shared" ref="E43:H43" si="6">SUM(E44:E46)</f>
        <v>2306605647588</v>
      </c>
      <c r="F43" s="482">
        <f t="shared" si="6"/>
        <v>2545081398487</v>
      </c>
      <c r="G43" s="482">
        <f t="shared" si="6"/>
        <v>2556974350993</v>
      </c>
      <c r="H43" s="482">
        <f t="shared" si="6"/>
        <v>4195839269027</v>
      </c>
      <c r="I43" s="482"/>
    </row>
    <row r="44" spans="1:9" ht="14.4" outlineLevel="1">
      <c r="A44" s="412" t="s">
        <v>476</v>
      </c>
      <c r="B44" s="412"/>
      <c r="C44" s="412" t="s">
        <v>477</v>
      </c>
      <c r="D44" s="483"/>
      <c r="E44" s="481">
        <v>2247137762457</v>
      </c>
      <c r="F44" s="481">
        <v>2306605647588</v>
      </c>
      <c r="G44" s="481">
        <v>2545081398487</v>
      </c>
      <c r="H44" s="481">
        <v>2556974350993</v>
      </c>
      <c r="I44" s="481"/>
    </row>
    <row r="45" spans="1:9" ht="14.4" outlineLevel="1">
      <c r="A45" s="412" t="s">
        <v>478</v>
      </c>
      <c r="B45" s="412"/>
      <c r="C45" s="412" t="s">
        <v>479</v>
      </c>
      <c r="D45" s="483"/>
      <c r="E45" s="481">
        <v>90002761955</v>
      </c>
      <c r="F45" s="481">
        <f>127894097599+127226891567</f>
        <v>255120989166</v>
      </c>
      <c r="G45" s="481">
        <f>17230947818+323439104</f>
        <v>17554386922</v>
      </c>
      <c r="H45" s="481">
        <f>13326958630+1629031022110</f>
        <v>1642357980740</v>
      </c>
      <c r="I45" s="481"/>
    </row>
    <row r="46" spans="1:9" ht="14.4" outlineLevel="1">
      <c r="A46" s="412" t="s">
        <v>480</v>
      </c>
      <c r="B46" s="412"/>
      <c r="C46" s="412" t="s">
        <v>481</v>
      </c>
      <c r="D46" s="483"/>
      <c r="E46" s="481">
        <v>-30534876824</v>
      </c>
      <c r="F46" s="481">
        <f>-(3017830200+13627408067)</f>
        <v>-16645238267</v>
      </c>
      <c r="G46" s="481">
        <v>-5661434416</v>
      </c>
      <c r="H46" s="481">
        <v>-3493062706</v>
      </c>
      <c r="I46" s="481"/>
    </row>
    <row r="47" spans="1:9" s="4" customFormat="1" ht="14.4">
      <c r="A47" s="410" t="s">
        <v>482</v>
      </c>
      <c r="B47" s="410"/>
      <c r="C47" s="410" t="s">
        <v>483</v>
      </c>
      <c r="D47" s="484"/>
      <c r="E47" s="482">
        <f t="shared" ref="E47:H47" si="7">SUM(E48:E50)</f>
        <v>1502119297270</v>
      </c>
      <c r="F47" s="482">
        <f t="shared" si="7"/>
        <v>1736585742333</v>
      </c>
      <c r="G47" s="482">
        <f t="shared" si="7"/>
        <v>1924198134937</v>
      </c>
      <c r="H47" s="482">
        <f t="shared" si="7"/>
        <v>2848393105604</v>
      </c>
      <c r="I47" s="482"/>
    </row>
    <row r="48" spans="1:9" ht="14.4" outlineLevel="1">
      <c r="A48" s="412" t="s">
        <v>484</v>
      </c>
      <c r="B48" s="412"/>
      <c r="C48" s="412" t="s">
        <v>477</v>
      </c>
      <c r="D48" s="483"/>
      <c r="E48" s="481">
        <v>1332930506854</v>
      </c>
      <c r="F48" s="481">
        <v>1502119297270</v>
      </c>
      <c r="G48" s="481">
        <v>1736585742333</v>
      </c>
      <c r="H48" s="481">
        <v>1924198134937</v>
      </c>
      <c r="I48" s="481"/>
    </row>
    <row r="49" spans="1:9" ht="14.4" outlineLevel="1">
      <c r="A49" s="412" t="s">
        <v>478</v>
      </c>
      <c r="B49" s="412"/>
      <c r="C49" s="412" t="s">
        <v>479</v>
      </c>
      <c r="D49" s="483"/>
      <c r="E49" s="481">
        <v>199419138916</v>
      </c>
      <c r="F49" s="481">
        <f>200722380760+43758161773</f>
        <v>244480542533</v>
      </c>
      <c r="G49" s="481">
        <f>193013451524</f>
        <v>193013451524</v>
      </c>
      <c r="H49" s="481">
        <f>194136380679+731583987955</f>
        <v>925720368634</v>
      </c>
      <c r="I49" s="481"/>
    </row>
    <row r="50" spans="1:9" ht="14.4" outlineLevel="1">
      <c r="A50" s="412" t="s">
        <v>480</v>
      </c>
      <c r="B50" s="412"/>
      <c r="C50" s="412" t="s">
        <v>481</v>
      </c>
      <c r="D50" s="483"/>
      <c r="E50" s="481">
        <v>-30230348500</v>
      </c>
      <c r="F50" s="481">
        <v>-10014097470</v>
      </c>
      <c r="G50" s="481">
        <v>-5401058920</v>
      </c>
      <c r="H50" s="481">
        <v>-1525397967</v>
      </c>
      <c r="I50" s="481"/>
    </row>
    <row r="51" spans="1:9" s="4" customFormat="1" ht="14.4">
      <c r="A51" s="410" t="s">
        <v>485</v>
      </c>
      <c r="B51" s="410"/>
      <c r="C51" s="410" t="s">
        <v>486</v>
      </c>
      <c r="D51" s="484"/>
      <c r="E51" s="482">
        <f t="shared" ref="E51:H51" si="8">SUM(E52:E54)</f>
        <v>0</v>
      </c>
      <c r="F51" s="482">
        <f t="shared" si="8"/>
        <v>0</v>
      </c>
      <c r="G51" s="482">
        <f t="shared" si="8"/>
        <v>0</v>
      </c>
      <c r="H51" s="482">
        <f t="shared" si="8"/>
        <v>0</v>
      </c>
      <c r="I51" s="482"/>
    </row>
    <row r="52" spans="1:9" ht="14.4" outlineLevel="1">
      <c r="A52" s="412" t="s">
        <v>476</v>
      </c>
      <c r="B52" s="412"/>
      <c r="C52" s="412" t="s">
        <v>477</v>
      </c>
      <c r="D52" s="483"/>
      <c r="E52" s="481">
        <v>0</v>
      </c>
      <c r="F52" s="481">
        <v>0</v>
      </c>
      <c r="G52" s="481">
        <v>0</v>
      </c>
      <c r="H52" s="481">
        <v>0</v>
      </c>
      <c r="I52" s="481"/>
    </row>
    <row r="53" spans="1:9" ht="14.4" outlineLevel="1">
      <c r="A53" s="412" t="s">
        <v>478</v>
      </c>
      <c r="B53" s="412"/>
      <c r="C53" s="412" t="s">
        <v>479</v>
      </c>
      <c r="D53" s="483"/>
      <c r="E53" s="481">
        <v>0</v>
      </c>
      <c r="F53" s="481">
        <v>0</v>
      </c>
      <c r="G53" s="481">
        <v>0</v>
      </c>
      <c r="H53" s="481">
        <v>0</v>
      </c>
      <c r="I53" s="481"/>
    </row>
    <row r="54" spans="1:9" ht="14.4" outlineLevel="1">
      <c r="A54" s="412" t="s">
        <v>480</v>
      </c>
      <c r="B54" s="412"/>
      <c r="C54" s="412" t="s">
        <v>481</v>
      </c>
      <c r="D54" s="483"/>
      <c r="E54" s="481">
        <v>0</v>
      </c>
      <c r="F54" s="481">
        <v>0</v>
      </c>
      <c r="G54" s="481">
        <v>0</v>
      </c>
      <c r="H54" s="481">
        <v>0</v>
      </c>
      <c r="I54" s="481"/>
    </row>
    <row r="55" spans="1:9" s="4" customFormat="1" ht="14.4">
      <c r="A55" s="410" t="s">
        <v>487</v>
      </c>
      <c r="B55" s="410"/>
      <c r="C55" s="410" t="s">
        <v>488</v>
      </c>
      <c r="D55" s="484"/>
      <c r="E55" s="482">
        <f t="shared" ref="E55:H55" si="9">SUM(E56:E58)</f>
        <v>0</v>
      </c>
      <c r="F55" s="482">
        <f t="shared" si="9"/>
        <v>0</v>
      </c>
      <c r="G55" s="482">
        <f t="shared" si="9"/>
        <v>0</v>
      </c>
      <c r="H55" s="482">
        <f t="shared" si="9"/>
        <v>0</v>
      </c>
      <c r="I55" s="482"/>
    </row>
    <row r="56" spans="1:9" ht="14.4" outlineLevel="1">
      <c r="A56" s="412" t="s">
        <v>484</v>
      </c>
      <c r="B56" s="412"/>
      <c r="C56" s="412" t="s">
        <v>477</v>
      </c>
      <c r="D56" s="483"/>
      <c r="E56" s="481">
        <v>0</v>
      </c>
      <c r="F56" s="481">
        <v>0</v>
      </c>
      <c r="G56" s="481">
        <v>0</v>
      </c>
      <c r="H56" s="481">
        <v>0</v>
      </c>
      <c r="I56" s="481"/>
    </row>
    <row r="57" spans="1:9" ht="14.4" outlineLevel="1">
      <c r="A57" s="412" t="s">
        <v>478</v>
      </c>
      <c r="B57" s="412"/>
      <c r="C57" s="412" t="s">
        <v>479</v>
      </c>
      <c r="D57" s="483"/>
      <c r="E57" s="481">
        <v>0</v>
      </c>
      <c r="F57" s="481">
        <v>0</v>
      </c>
      <c r="G57" s="481">
        <v>0</v>
      </c>
      <c r="H57" s="481">
        <v>0</v>
      </c>
      <c r="I57" s="481"/>
    </row>
    <row r="58" spans="1:9" ht="14.4" outlineLevel="1">
      <c r="A58" s="412" t="s">
        <v>480</v>
      </c>
      <c r="B58" s="412"/>
      <c r="C58" s="412" t="s">
        <v>481</v>
      </c>
      <c r="D58" s="483"/>
      <c r="E58" s="481">
        <v>0</v>
      </c>
      <c r="F58" s="481">
        <v>0</v>
      </c>
      <c r="G58" s="481">
        <v>0</v>
      </c>
      <c r="H58" s="481">
        <v>0</v>
      </c>
      <c r="I58" s="481"/>
    </row>
    <row r="59" spans="1:9" s="4" customFormat="1" ht="14.4">
      <c r="A59" s="410" t="s">
        <v>489</v>
      </c>
      <c r="B59" s="410"/>
      <c r="C59" s="410" t="s">
        <v>490</v>
      </c>
      <c r="D59" s="484"/>
      <c r="E59" s="482">
        <f t="shared" ref="E59:H59" si="10">SUM(E60:E62)</f>
        <v>21363168750</v>
      </c>
      <c r="F59" s="482">
        <f t="shared" si="10"/>
        <v>21654078750</v>
      </c>
      <c r="G59" s="482">
        <f t="shared" si="10"/>
        <v>22239958750</v>
      </c>
      <c r="H59" s="482">
        <f t="shared" si="10"/>
        <v>2320997600260</v>
      </c>
      <c r="I59" s="482"/>
    </row>
    <row r="60" spans="1:9" ht="14.4" outlineLevel="1">
      <c r="A60" s="412" t="s">
        <v>476</v>
      </c>
      <c r="B60" s="412"/>
      <c r="C60" s="412" t="s">
        <v>477</v>
      </c>
      <c r="D60" s="483"/>
      <c r="E60" s="481">
        <v>21436478750</v>
      </c>
      <c r="F60" s="481">
        <v>21363168750</v>
      </c>
      <c r="G60" s="481">
        <v>21654078750</v>
      </c>
      <c r="H60" s="481">
        <v>22239958750</v>
      </c>
      <c r="I60" s="481"/>
    </row>
    <row r="61" spans="1:9" ht="14.4" outlineLevel="1">
      <c r="A61" s="412" t="s">
        <v>478</v>
      </c>
      <c r="B61" s="412"/>
      <c r="C61" s="412" t="s">
        <v>479</v>
      </c>
      <c r="D61" s="483"/>
      <c r="E61" s="481">
        <v>30000000</v>
      </c>
      <c r="F61" s="481">
        <v>290910000</v>
      </c>
      <c r="G61" s="481">
        <v>585880000</v>
      </c>
      <c r="H61" s="481">
        <f>1937460000+2296820181510</f>
        <v>2298757641510</v>
      </c>
      <c r="I61" s="481"/>
    </row>
    <row r="62" spans="1:9" ht="14.4" outlineLevel="1">
      <c r="A62" s="412" t="s">
        <v>480</v>
      </c>
      <c r="B62" s="412"/>
      <c r="C62" s="412" t="s">
        <v>481</v>
      </c>
      <c r="D62" s="483"/>
      <c r="E62" s="481">
        <v>-103310000</v>
      </c>
      <c r="F62" s="481"/>
      <c r="G62" s="481"/>
      <c r="H62" s="481"/>
      <c r="I62" s="481"/>
    </row>
    <row r="63" spans="1:9" s="4" customFormat="1" ht="14.4">
      <c r="A63" s="410" t="s">
        <v>491</v>
      </c>
      <c r="B63" s="410"/>
      <c r="C63" s="410" t="s">
        <v>492</v>
      </c>
      <c r="D63" s="484"/>
      <c r="E63" s="482">
        <f t="shared" ref="E63:H63" si="11">SUM(E64:E66)</f>
        <v>14969908208</v>
      </c>
      <c r="F63" s="482">
        <f>SUM(F64:F66)</f>
        <v>15774049504</v>
      </c>
      <c r="G63" s="482">
        <f t="shared" si="11"/>
        <v>16128123425</v>
      </c>
      <c r="H63" s="482">
        <f t="shared" si="11"/>
        <v>61488328794</v>
      </c>
      <c r="I63" s="482"/>
    </row>
    <row r="64" spans="1:9" ht="14.4" outlineLevel="1">
      <c r="A64" s="412" t="s">
        <v>484</v>
      </c>
      <c r="B64" s="412"/>
      <c r="C64" s="412" t="s">
        <v>477</v>
      </c>
      <c r="D64" s="483"/>
      <c r="E64" s="481">
        <v>14057999858</v>
      </c>
      <c r="F64" s="481">
        <v>14969908208</v>
      </c>
      <c r="G64" s="481">
        <v>15774049504</v>
      </c>
      <c r="H64" s="481">
        <v>16128123425</v>
      </c>
      <c r="I64" s="481"/>
    </row>
    <row r="65" spans="1:9" ht="14.4" outlineLevel="1">
      <c r="A65" s="412" t="s">
        <v>478</v>
      </c>
      <c r="B65" s="412"/>
      <c r="C65" s="412" t="s">
        <v>479</v>
      </c>
      <c r="D65" s="483"/>
      <c r="E65" s="481">
        <v>1015218350</v>
      </c>
      <c r="F65" s="481">
        <v>804141296</v>
      </c>
      <c r="G65" s="481">
        <v>354073921</v>
      </c>
      <c r="H65" s="481">
        <f>37797999607+7562205762</f>
        <v>45360205369</v>
      </c>
      <c r="I65" s="481"/>
    </row>
    <row r="66" spans="1:9" ht="14.4" outlineLevel="1">
      <c r="A66" s="412" t="s">
        <v>480</v>
      </c>
      <c r="B66" s="412"/>
      <c r="C66" s="412" t="s">
        <v>481</v>
      </c>
      <c r="D66" s="483"/>
      <c r="E66" s="481">
        <v>-103310000</v>
      </c>
      <c r="F66" s="481"/>
      <c r="G66" s="481"/>
      <c r="H66" s="481"/>
      <c r="I66" s="481"/>
    </row>
    <row r="67" spans="1:9" s="4" customFormat="1" ht="14.4">
      <c r="A67" s="410" t="s">
        <v>493</v>
      </c>
      <c r="B67" s="410"/>
      <c r="C67" s="410" t="s">
        <v>494</v>
      </c>
      <c r="D67" s="484"/>
      <c r="E67" s="482">
        <f t="shared" ref="E67:H67" si="12">SUM(E68:E72)</f>
        <v>0</v>
      </c>
      <c r="F67" s="482">
        <f t="shared" si="12"/>
        <v>0</v>
      </c>
      <c r="G67" s="482">
        <f t="shared" si="12"/>
        <v>0</v>
      </c>
      <c r="H67" s="482">
        <f t="shared" si="12"/>
        <v>0</v>
      </c>
      <c r="I67" s="482"/>
    </row>
    <row r="68" spans="1:9" ht="14.4" outlineLevel="1">
      <c r="A68" s="412" t="s">
        <v>495</v>
      </c>
      <c r="B68" s="412"/>
      <c r="C68" s="412" t="s">
        <v>496</v>
      </c>
      <c r="D68" s="483"/>
      <c r="E68" s="481"/>
      <c r="F68" s="481"/>
      <c r="G68" s="481"/>
      <c r="H68" s="481"/>
      <c r="I68" s="481"/>
    </row>
    <row r="69" spans="1:9" ht="14.4" outlineLevel="1">
      <c r="A69" s="412" t="s">
        <v>497</v>
      </c>
      <c r="B69" s="412"/>
      <c r="C69" s="412" t="s">
        <v>498</v>
      </c>
      <c r="D69" s="483"/>
      <c r="E69" s="481"/>
      <c r="F69" s="481"/>
      <c r="G69" s="481"/>
      <c r="H69" s="481"/>
      <c r="I69" s="481"/>
    </row>
    <row r="70" spans="1:9" ht="14.4" outlineLevel="1">
      <c r="A70" s="412" t="s">
        <v>499</v>
      </c>
      <c r="B70" s="412"/>
      <c r="C70" s="412" t="s">
        <v>500</v>
      </c>
      <c r="D70" s="483"/>
      <c r="E70" s="481"/>
      <c r="F70" s="481"/>
      <c r="G70" s="481"/>
      <c r="H70" s="481"/>
      <c r="I70" s="481"/>
    </row>
    <row r="71" spans="1:9" ht="14.4" outlineLevel="1">
      <c r="A71" s="412" t="s">
        <v>501</v>
      </c>
      <c r="B71" s="412"/>
      <c r="C71" s="412" t="s">
        <v>502</v>
      </c>
      <c r="D71" s="483"/>
      <c r="E71" s="481"/>
      <c r="F71" s="481"/>
      <c r="G71" s="481"/>
      <c r="H71" s="481"/>
      <c r="I71" s="481"/>
    </row>
    <row r="72" spans="1:9" ht="14.4" outlineLevel="1">
      <c r="A72" s="412" t="s">
        <v>972</v>
      </c>
      <c r="B72" s="412"/>
      <c r="C72" s="412" t="s">
        <v>115</v>
      </c>
      <c r="D72" s="483"/>
      <c r="E72" s="481"/>
      <c r="F72" s="481"/>
      <c r="G72" s="481"/>
      <c r="H72" s="481"/>
      <c r="I72" s="481"/>
    </row>
    <row r="73" spans="1:9" s="4" customFormat="1" ht="14.4">
      <c r="A73" s="410" t="s">
        <v>503</v>
      </c>
      <c r="B73" s="410"/>
      <c r="C73" s="410" t="s">
        <v>504</v>
      </c>
      <c r="D73" s="484"/>
      <c r="E73" s="482">
        <f t="shared" ref="E73:H73" si="13">SUM(E74:E75)</f>
        <v>0</v>
      </c>
      <c r="F73" s="482">
        <f t="shared" si="13"/>
        <v>208400000000</v>
      </c>
      <c r="G73" s="482">
        <f t="shared" si="13"/>
        <v>124986247447</v>
      </c>
      <c r="H73" s="482">
        <f t="shared" si="13"/>
        <v>343148948275</v>
      </c>
      <c r="I73" s="482"/>
    </row>
    <row r="74" spans="1:9" ht="14.4" outlineLevel="1">
      <c r="A74" s="412" t="s">
        <v>970</v>
      </c>
      <c r="B74" s="412"/>
      <c r="C74" s="412" t="s">
        <v>505</v>
      </c>
      <c r="D74" s="483"/>
      <c r="E74" s="481"/>
      <c r="F74" s="481">
        <v>208400000000</v>
      </c>
      <c r="G74" s="481">
        <v>118835910443</v>
      </c>
      <c r="H74" s="481">
        <v>299753683804</v>
      </c>
      <c r="I74" s="481"/>
    </row>
    <row r="75" spans="1:9" ht="14.4" outlineLevel="1">
      <c r="A75" s="412" t="s">
        <v>971</v>
      </c>
      <c r="B75" s="412"/>
      <c r="C75" s="412" t="s">
        <v>506</v>
      </c>
      <c r="D75" s="483"/>
      <c r="E75" s="481"/>
      <c r="F75" s="481"/>
      <c r="G75" s="481">
        <v>6150337004</v>
      </c>
      <c r="H75" s="481">
        <v>43395264471</v>
      </c>
      <c r="I75" s="481"/>
    </row>
    <row r="76" spans="1:9" s="4" customFormat="1" ht="14.4">
      <c r="A76" s="410" t="s">
        <v>507</v>
      </c>
      <c r="B76" s="410"/>
      <c r="C76" s="410" t="s">
        <v>508</v>
      </c>
      <c r="D76" s="484"/>
      <c r="E76" s="482">
        <f t="shared" ref="E76:H76" si="14">SUM(E77:E79)</f>
        <v>0</v>
      </c>
      <c r="F76" s="482">
        <f t="shared" si="14"/>
        <v>4394353039</v>
      </c>
      <c r="G76" s="482">
        <f t="shared" si="14"/>
        <v>5294942838</v>
      </c>
      <c r="H76" s="482">
        <f t="shared" si="14"/>
        <v>472489016569</v>
      </c>
      <c r="I76" s="482"/>
    </row>
    <row r="77" spans="1:9" ht="14.4" outlineLevel="1">
      <c r="A77" s="412" t="s">
        <v>509</v>
      </c>
      <c r="B77" s="412"/>
      <c r="C77" s="412" t="s">
        <v>477</v>
      </c>
      <c r="D77" s="483"/>
      <c r="E77" s="481">
        <v>0</v>
      </c>
      <c r="F77" s="481">
        <v>4394353039</v>
      </c>
      <c r="G77" s="481">
        <v>4394353039</v>
      </c>
      <c r="H77" s="481">
        <v>5294942838</v>
      </c>
      <c r="I77" s="481"/>
    </row>
    <row r="78" spans="1:9" ht="14.4" outlineLevel="1">
      <c r="A78" s="412" t="s">
        <v>478</v>
      </c>
      <c r="B78" s="412"/>
      <c r="C78" s="412" t="s">
        <v>479</v>
      </c>
      <c r="D78" s="483"/>
      <c r="E78" s="481">
        <v>0</v>
      </c>
      <c r="F78" s="481">
        <v>0</v>
      </c>
      <c r="G78" s="481">
        <v>900589799</v>
      </c>
      <c r="H78" s="481">
        <v>467194073731</v>
      </c>
      <c r="I78" s="481"/>
    </row>
    <row r="79" spans="1:9" ht="14.4" outlineLevel="1">
      <c r="A79" s="412" t="s">
        <v>480</v>
      </c>
      <c r="B79" s="412"/>
      <c r="C79" s="412" t="s">
        <v>481</v>
      </c>
      <c r="D79" s="483"/>
      <c r="E79" s="481">
        <v>0</v>
      </c>
      <c r="F79" s="481">
        <v>0</v>
      </c>
      <c r="G79" s="481">
        <v>0</v>
      </c>
      <c r="H79" s="481">
        <v>0</v>
      </c>
      <c r="I79" s="481"/>
    </row>
    <row r="80" spans="1:9" s="4" customFormat="1" ht="14.4">
      <c r="A80" s="410" t="s">
        <v>510</v>
      </c>
      <c r="B80" s="410"/>
      <c r="C80" s="410" t="s">
        <v>511</v>
      </c>
      <c r="D80" s="484"/>
      <c r="E80" s="482">
        <f t="shared" ref="E80:H80" si="15">SUM(E81:E83)</f>
        <v>0</v>
      </c>
      <c r="F80" s="482">
        <f t="shared" si="15"/>
        <v>221523550</v>
      </c>
      <c r="G80" s="482">
        <f t="shared" si="15"/>
        <v>725575162</v>
      </c>
      <c r="H80" s="482">
        <f t="shared" si="15"/>
        <v>22444746014</v>
      </c>
      <c r="I80" s="482"/>
    </row>
    <row r="81" spans="1:9" ht="14.4" outlineLevel="1">
      <c r="A81" s="412" t="s">
        <v>512</v>
      </c>
      <c r="B81" s="412"/>
      <c r="C81" s="412" t="s">
        <v>477</v>
      </c>
      <c r="D81" s="483"/>
      <c r="E81" s="481">
        <v>0</v>
      </c>
      <c r="F81" s="481">
        <v>221523550</v>
      </c>
      <c r="G81" s="481">
        <v>221523550</v>
      </c>
      <c r="H81" s="481">
        <v>725575162</v>
      </c>
      <c r="I81" s="481"/>
    </row>
    <row r="82" spans="1:9" ht="14.4" outlineLevel="1">
      <c r="A82" s="412" t="s">
        <v>478</v>
      </c>
      <c r="B82" s="412"/>
      <c r="C82" s="412" t="s">
        <v>479</v>
      </c>
      <c r="D82" s="483"/>
      <c r="E82" s="481">
        <v>0</v>
      </c>
      <c r="F82" s="481">
        <v>0</v>
      </c>
      <c r="G82" s="481">
        <v>504051612</v>
      </c>
      <c r="H82" s="481">
        <v>21719170852</v>
      </c>
      <c r="I82" s="481"/>
    </row>
    <row r="83" spans="1:9" ht="14.4" outlineLevel="1">
      <c r="A83" s="412" t="s">
        <v>480</v>
      </c>
      <c r="B83" s="412"/>
      <c r="C83" s="412" t="s">
        <v>481</v>
      </c>
      <c r="D83" s="483"/>
      <c r="E83" s="481">
        <v>0</v>
      </c>
      <c r="F83" s="481">
        <v>0</v>
      </c>
      <c r="G83" s="481">
        <v>0</v>
      </c>
      <c r="H83" s="481">
        <v>0</v>
      </c>
      <c r="I83" s="481"/>
    </row>
    <row r="84" spans="1:9" s="4" customFormat="1" ht="14.4">
      <c r="A84" s="410" t="s">
        <v>513</v>
      </c>
      <c r="B84" s="410"/>
      <c r="C84" s="410" t="s">
        <v>514</v>
      </c>
      <c r="D84" s="484"/>
      <c r="E84" s="482">
        <f>SUM(E85:E93)</f>
        <v>24917570748</v>
      </c>
      <c r="F84" s="482">
        <f t="shared" ref="F84:H84" si="16">SUM(F85:F93)</f>
        <v>24409235577</v>
      </c>
      <c r="G84" s="482">
        <f t="shared" si="16"/>
        <v>29317673914</v>
      </c>
      <c r="H84" s="482">
        <f t="shared" si="16"/>
        <v>47069114487</v>
      </c>
      <c r="I84" s="482"/>
    </row>
    <row r="85" spans="1:9" ht="14.4" outlineLevel="1">
      <c r="A85" s="412" t="s">
        <v>515</v>
      </c>
      <c r="B85" s="412"/>
      <c r="C85" s="412" t="s">
        <v>516</v>
      </c>
      <c r="D85" s="483"/>
      <c r="E85" s="481">
        <v>3266188982</v>
      </c>
      <c r="F85" s="481">
        <v>2036390448</v>
      </c>
      <c r="G85" s="481">
        <v>3938447162</v>
      </c>
      <c r="H85" s="481">
        <v>4238320541</v>
      </c>
      <c r="I85" s="481"/>
    </row>
    <row r="86" spans="1:9" ht="14.4" outlineLevel="1">
      <c r="A86" s="412" t="s">
        <v>517</v>
      </c>
      <c r="B86" s="412"/>
      <c r="C86" s="412" t="s">
        <v>518</v>
      </c>
      <c r="D86" s="483"/>
      <c r="E86" s="481"/>
      <c r="F86" s="481"/>
      <c r="G86" s="481"/>
      <c r="H86" s="481"/>
      <c r="I86" s="481"/>
    </row>
    <row r="87" spans="1:9" ht="14.4" outlineLevel="1">
      <c r="A87" s="412" t="s">
        <v>519</v>
      </c>
      <c r="B87" s="412"/>
      <c r="C87" s="412" t="s">
        <v>520</v>
      </c>
      <c r="D87" s="483"/>
      <c r="E87" s="481"/>
      <c r="F87" s="481"/>
      <c r="G87" s="481"/>
      <c r="H87" s="481"/>
      <c r="I87" s="481"/>
    </row>
    <row r="88" spans="1:9" ht="14.4" outlineLevel="1">
      <c r="A88" s="412" t="s">
        <v>521</v>
      </c>
      <c r="B88" s="412"/>
      <c r="C88" s="412" t="s">
        <v>522</v>
      </c>
      <c r="D88" s="483"/>
      <c r="E88" s="481">
        <v>18499730099</v>
      </c>
      <c r="F88" s="481">
        <v>17661847636</v>
      </c>
      <c r="G88" s="481">
        <v>21994703344</v>
      </c>
      <c r="H88" s="481">
        <v>34710371835</v>
      </c>
      <c r="I88" s="481"/>
    </row>
    <row r="89" spans="1:9" ht="14.4" outlineLevel="1">
      <c r="A89" s="412" t="s">
        <v>523</v>
      </c>
      <c r="B89" s="412"/>
      <c r="C89" s="412" t="s">
        <v>524</v>
      </c>
      <c r="D89" s="483"/>
      <c r="E89" s="481">
        <v>1784325547</v>
      </c>
      <c r="F89" s="481">
        <v>4710997493</v>
      </c>
      <c r="G89" s="481">
        <v>3383952071</v>
      </c>
      <c r="H89" s="481">
        <v>8119850774</v>
      </c>
      <c r="I89" s="481"/>
    </row>
    <row r="90" spans="1:9" ht="14.4" outlineLevel="1">
      <c r="A90" s="412" t="s">
        <v>525</v>
      </c>
      <c r="B90" s="412"/>
      <c r="C90" s="412" t="s">
        <v>526</v>
      </c>
      <c r="D90" s="483"/>
      <c r="E90" s="481"/>
      <c r="F90" s="481"/>
      <c r="G90" s="481"/>
      <c r="H90" s="481"/>
      <c r="I90" s="481"/>
    </row>
    <row r="91" spans="1:9" ht="14.4" outlineLevel="1">
      <c r="A91" s="412" t="s">
        <v>527</v>
      </c>
      <c r="B91" s="412"/>
      <c r="C91" s="412" t="s">
        <v>528</v>
      </c>
      <c r="D91" s="483"/>
      <c r="E91" s="481"/>
      <c r="F91" s="481"/>
      <c r="G91" s="481"/>
      <c r="H91" s="481"/>
      <c r="I91" s="481"/>
    </row>
    <row r="92" spans="1:9" ht="14.4" outlineLevel="1">
      <c r="A92" s="412" t="s">
        <v>529</v>
      </c>
      <c r="B92" s="412"/>
      <c r="C92" s="412" t="s">
        <v>530</v>
      </c>
      <c r="D92" s="483"/>
      <c r="E92" s="481">
        <v>1367326120</v>
      </c>
      <c r="F92" s="481"/>
      <c r="G92" s="481">
        <v>571337</v>
      </c>
      <c r="H92" s="481">
        <v>571337</v>
      </c>
      <c r="I92" s="481"/>
    </row>
    <row r="93" spans="1:9" ht="14.4" outlineLevel="1">
      <c r="A93" s="412" t="s">
        <v>531</v>
      </c>
      <c r="B93" s="412"/>
      <c r="C93" s="412" t="s">
        <v>532</v>
      </c>
      <c r="D93" s="483"/>
      <c r="E93" s="481">
        <v>0</v>
      </c>
      <c r="F93" s="481">
        <v>0</v>
      </c>
      <c r="G93" s="481">
        <v>0</v>
      </c>
      <c r="H93" s="481">
        <v>0</v>
      </c>
      <c r="I93" s="481"/>
    </row>
    <row r="94" spans="1:9" s="4" customFormat="1" ht="14.4">
      <c r="A94" s="410" t="s">
        <v>533</v>
      </c>
      <c r="B94" s="410"/>
      <c r="C94" s="410" t="s">
        <v>534</v>
      </c>
      <c r="D94" s="484"/>
      <c r="E94" s="482">
        <f t="shared" ref="E94:H94" si="17">SUM(E95:E98)</f>
        <v>0</v>
      </c>
      <c r="F94" s="482">
        <f t="shared" si="17"/>
        <v>0</v>
      </c>
      <c r="G94" s="482">
        <f t="shared" si="17"/>
        <v>0</v>
      </c>
      <c r="H94" s="482">
        <f t="shared" si="17"/>
        <v>0</v>
      </c>
      <c r="I94" s="482"/>
    </row>
    <row r="95" spans="1:9" ht="14.4" outlineLevel="1">
      <c r="A95" s="412" t="s">
        <v>535</v>
      </c>
      <c r="B95" s="412"/>
      <c r="C95" s="412" t="s">
        <v>536</v>
      </c>
      <c r="D95" s="483"/>
      <c r="E95" s="481"/>
      <c r="F95" s="481"/>
      <c r="G95" s="481"/>
      <c r="H95" s="481"/>
      <c r="I95" s="481"/>
    </row>
    <row r="96" spans="1:9" ht="14.4" outlineLevel="1">
      <c r="A96" s="412" t="s">
        <v>537</v>
      </c>
      <c r="B96" s="412"/>
      <c r="C96" s="412" t="s">
        <v>538</v>
      </c>
      <c r="D96" s="483"/>
      <c r="E96" s="481"/>
      <c r="F96" s="481"/>
      <c r="G96" s="481"/>
      <c r="H96" s="481"/>
      <c r="I96" s="481"/>
    </row>
    <row r="97" spans="1:9" ht="14.4" outlineLevel="1">
      <c r="A97" s="412" t="s">
        <v>539</v>
      </c>
      <c r="B97" s="412"/>
      <c r="C97" s="412" t="s">
        <v>540</v>
      </c>
      <c r="D97" s="483"/>
      <c r="E97" s="481"/>
      <c r="F97" s="481"/>
      <c r="G97" s="481"/>
      <c r="H97" s="481"/>
      <c r="I97" s="481"/>
    </row>
    <row r="98" spans="1:9" ht="14.4" outlineLevel="1">
      <c r="A98" s="412" t="s">
        <v>463</v>
      </c>
      <c r="B98" s="412"/>
      <c r="C98" s="412" t="s">
        <v>473</v>
      </c>
      <c r="D98" s="483"/>
      <c r="E98" s="481"/>
      <c r="F98" s="481"/>
      <c r="G98" s="481"/>
      <c r="H98" s="481"/>
      <c r="I98" s="481"/>
    </row>
    <row r="99" spans="1:9" s="4" customFormat="1" ht="14.4">
      <c r="A99" s="410" t="s">
        <v>541</v>
      </c>
      <c r="B99" s="410"/>
      <c r="C99" s="410" t="s">
        <v>542</v>
      </c>
      <c r="D99" s="484"/>
      <c r="E99" s="482">
        <f t="shared" ref="E99:H99" si="18">SUM(E100:E108)</f>
        <v>627459338566</v>
      </c>
      <c r="F99" s="482">
        <f t="shared" si="18"/>
        <v>55625319941</v>
      </c>
      <c r="G99" s="482">
        <f t="shared" si="18"/>
        <v>14271499464</v>
      </c>
      <c r="H99" s="482">
        <f t="shared" si="18"/>
        <v>19916673963</v>
      </c>
      <c r="I99" s="482"/>
    </row>
    <row r="100" spans="1:9" ht="14.4" outlineLevel="1">
      <c r="A100" s="412" t="s">
        <v>543</v>
      </c>
      <c r="B100" s="412"/>
      <c r="C100" s="412" t="s">
        <v>544</v>
      </c>
      <c r="D100" s="483"/>
      <c r="E100" s="481"/>
      <c r="F100" s="481"/>
      <c r="G100" s="481"/>
      <c r="H100" s="481"/>
      <c r="I100" s="481"/>
    </row>
    <row r="101" spans="1:9" ht="14.4" outlineLevel="1">
      <c r="A101" s="412" t="s">
        <v>545</v>
      </c>
      <c r="B101" s="412"/>
      <c r="C101" s="412" t="s">
        <v>546</v>
      </c>
      <c r="D101" s="483"/>
      <c r="E101" s="481"/>
      <c r="F101" s="481"/>
      <c r="G101" s="481"/>
      <c r="H101" s="481"/>
      <c r="I101" s="481"/>
    </row>
    <row r="102" spans="1:9" ht="14.4" outlineLevel="1">
      <c r="A102" s="412" t="s">
        <v>547</v>
      </c>
      <c r="B102" s="412"/>
      <c r="C102" s="412" t="s">
        <v>548</v>
      </c>
      <c r="D102" s="483"/>
      <c r="E102" s="481"/>
      <c r="F102" s="481"/>
      <c r="G102" s="481"/>
      <c r="H102" s="481"/>
      <c r="I102" s="481"/>
    </row>
    <row r="103" spans="1:9" ht="14.4" outlineLevel="1">
      <c r="A103" s="412" t="s">
        <v>549</v>
      </c>
      <c r="B103" s="412"/>
      <c r="C103" s="412" t="s">
        <v>550</v>
      </c>
      <c r="D103" s="483"/>
      <c r="E103" s="481"/>
      <c r="F103" s="481"/>
      <c r="G103" s="481"/>
      <c r="H103" s="481"/>
      <c r="I103" s="481"/>
    </row>
    <row r="104" spans="1:9" ht="14.4" outlineLevel="1">
      <c r="A104" s="412" t="s">
        <v>551</v>
      </c>
      <c r="B104" s="412"/>
      <c r="C104" s="412" t="s">
        <v>552</v>
      </c>
      <c r="D104" s="483"/>
      <c r="E104" s="481"/>
      <c r="F104" s="481"/>
      <c r="G104" s="481"/>
      <c r="H104" s="481"/>
      <c r="I104" s="481"/>
    </row>
    <row r="105" spans="1:9" ht="14.4" outlineLevel="1">
      <c r="A105" s="412" t="s">
        <v>968</v>
      </c>
      <c r="B105" s="412"/>
      <c r="C105" s="412" t="s">
        <v>553</v>
      </c>
      <c r="D105" s="483"/>
      <c r="E105" s="481"/>
      <c r="F105" s="481"/>
      <c r="G105" s="481"/>
      <c r="H105" s="481"/>
      <c r="I105" s="481"/>
    </row>
    <row r="106" spans="1:9" ht="28.8" outlineLevel="1">
      <c r="A106" s="412" t="s">
        <v>975</v>
      </c>
      <c r="B106" s="412"/>
      <c r="C106" s="412" t="s">
        <v>554</v>
      </c>
      <c r="D106" s="483"/>
      <c r="E106" s="481"/>
      <c r="F106" s="481">
        <v>37000000000</v>
      </c>
      <c r="G106" s="481"/>
      <c r="H106" s="481"/>
      <c r="I106" s="481"/>
    </row>
    <row r="107" spans="1:9" ht="28.8" outlineLevel="1">
      <c r="A107" s="412" t="s">
        <v>969</v>
      </c>
      <c r="B107" s="412"/>
      <c r="C107" s="412" t="s">
        <v>555</v>
      </c>
      <c r="D107" s="483"/>
      <c r="E107" s="481">
        <v>69359251314</v>
      </c>
      <c r="F107" s="481"/>
      <c r="G107" s="481"/>
      <c r="H107" s="481"/>
      <c r="I107" s="481"/>
    </row>
    <row r="108" spans="1:9" ht="14.4" outlineLevel="1">
      <c r="A108" s="412" t="s">
        <v>463</v>
      </c>
      <c r="B108" s="412"/>
      <c r="C108" s="412" t="s">
        <v>473</v>
      </c>
      <c r="D108" s="483"/>
      <c r="E108" s="481">
        <f>9046527252+549053560000</f>
        <v>558100087252</v>
      </c>
      <c r="F108" s="481">
        <v>18625319941</v>
      </c>
      <c r="G108" s="481">
        <v>14271499464</v>
      </c>
      <c r="H108" s="481">
        <v>19916673963</v>
      </c>
      <c r="I108" s="481"/>
    </row>
    <row r="109" spans="1:9" s="4" customFormat="1" ht="14.4">
      <c r="A109" s="410" t="s">
        <v>556</v>
      </c>
      <c r="B109" s="410"/>
      <c r="C109" s="410" t="s">
        <v>557</v>
      </c>
      <c r="D109" s="484"/>
      <c r="E109" s="482">
        <f t="shared" ref="E109:G109" si="19">SUM(E110:E114)</f>
        <v>1242458500</v>
      </c>
      <c r="F109" s="482">
        <f t="shared" si="19"/>
        <v>700000000000</v>
      </c>
      <c r="G109" s="482">
        <f t="shared" si="19"/>
        <v>1449749013010</v>
      </c>
      <c r="H109" s="482">
        <f>SUM(H110:H114)</f>
        <v>1650298938156</v>
      </c>
      <c r="I109" s="482"/>
    </row>
    <row r="110" spans="1:9" ht="14.4" outlineLevel="1">
      <c r="A110" s="412" t="s">
        <v>558</v>
      </c>
      <c r="B110" s="412"/>
      <c r="C110" s="412" t="s">
        <v>559</v>
      </c>
      <c r="D110" s="483"/>
      <c r="E110" s="481"/>
      <c r="F110" s="481">
        <v>700000000000</v>
      </c>
      <c r="G110" s="481">
        <v>1449749013010</v>
      </c>
      <c r="H110" s="481">
        <v>1650298938156</v>
      </c>
      <c r="I110" s="481"/>
    </row>
    <row r="111" spans="1:9" ht="14.4" outlineLevel="1">
      <c r="A111" s="412" t="s">
        <v>974</v>
      </c>
      <c r="B111" s="412"/>
      <c r="C111" s="412" t="s">
        <v>560</v>
      </c>
      <c r="D111" s="483"/>
      <c r="E111" s="481">
        <v>1212458500</v>
      </c>
      <c r="F111" s="481"/>
      <c r="G111" s="481"/>
      <c r="H111" s="481"/>
      <c r="I111" s="481"/>
    </row>
    <row r="112" spans="1:9" ht="14.4" outlineLevel="1">
      <c r="A112" s="412" t="s">
        <v>561</v>
      </c>
      <c r="B112" s="412"/>
      <c r="C112" s="412" t="s">
        <v>562</v>
      </c>
      <c r="D112" s="483"/>
      <c r="E112" s="481"/>
      <c r="F112" s="481"/>
      <c r="G112" s="481"/>
      <c r="H112" s="481"/>
      <c r="I112" s="481"/>
    </row>
    <row r="113" spans="1:9" ht="14.4" outlineLevel="1">
      <c r="A113" s="412" t="s">
        <v>563</v>
      </c>
      <c r="B113" s="412"/>
      <c r="C113" s="412" t="s">
        <v>564</v>
      </c>
      <c r="D113" s="483"/>
      <c r="E113" s="481"/>
      <c r="F113" s="481"/>
      <c r="G113" s="481"/>
      <c r="H113" s="481"/>
      <c r="I113" s="481"/>
    </row>
    <row r="114" spans="1:9" ht="14.4" outlineLevel="1">
      <c r="A114" s="412" t="s">
        <v>565</v>
      </c>
      <c r="B114" s="412"/>
      <c r="C114" s="412" t="s">
        <v>566</v>
      </c>
      <c r="D114" s="483"/>
      <c r="E114" s="481">
        <v>30000000</v>
      </c>
      <c r="F114" s="481"/>
      <c r="G114" s="481"/>
      <c r="H114" s="481"/>
      <c r="I114" s="481"/>
    </row>
    <row r="115" spans="1:9" s="4" customFormat="1" ht="14.4">
      <c r="A115" s="410" t="s">
        <v>567</v>
      </c>
      <c r="B115" s="410"/>
      <c r="C115" s="410" t="s">
        <v>568</v>
      </c>
      <c r="D115" s="484"/>
      <c r="E115" s="482">
        <f t="shared" ref="E115:H115" si="20">SUM(E116:E117)</f>
        <v>2447074307563</v>
      </c>
      <c r="F115" s="482">
        <f t="shared" si="20"/>
        <v>3201200347306</v>
      </c>
      <c r="G115" s="482">
        <f t="shared" si="20"/>
        <v>3294306897388</v>
      </c>
      <c r="H115" s="482">
        <f t="shared" si="20"/>
        <v>4896115718281</v>
      </c>
      <c r="I115" s="482"/>
    </row>
    <row r="116" spans="1:9" ht="14.4" outlineLevel="1">
      <c r="A116" s="412" t="s">
        <v>569</v>
      </c>
      <c r="B116" s="412"/>
      <c r="C116" s="412" t="s">
        <v>570</v>
      </c>
      <c r="D116" s="483"/>
      <c r="E116" s="481"/>
      <c r="F116" s="481"/>
      <c r="G116" s="481"/>
      <c r="H116" s="481"/>
      <c r="I116" s="481"/>
    </row>
    <row r="117" spans="1:9" ht="14.4" outlineLevel="1">
      <c r="A117" s="412" t="s">
        <v>571</v>
      </c>
      <c r="B117" s="412"/>
      <c r="C117" s="412" t="s">
        <v>572</v>
      </c>
      <c r="D117" s="483"/>
      <c r="E117" s="481">
        <f>2996127867563-549053560000</f>
        <v>2447074307563</v>
      </c>
      <c r="F117" s="481">
        <v>3201200347306</v>
      </c>
      <c r="G117" s="481">
        <v>3294306897388</v>
      </c>
      <c r="H117" s="481">
        <v>4896115718281</v>
      </c>
      <c r="I117" s="481"/>
    </row>
    <row r="118" spans="1:9" s="4" customFormat="1" ht="14.4">
      <c r="A118" s="410" t="s">
        <v>573</v>
      </c>
      <c r="B118" s="410"/>
      <c r="C118" s="410" t="s">
        <v>269</v>
      </c>
      <c r="D118" s="484"/>
      <c r="E118" s="482">
        <f t="shared" ref="E118:G118" si="21">SUM(E119:E121)</f>
        <v>1892131002372</v>
      </c>
      <c r="F118" s="482">
        <f t="shared" si="21"/>
        <v>2007397494749</v>
      </c>
      <c r="G118" s="482">
        <f t="shared" si="21"/>
        <v>2180945411694</v>
      </c>
      <c r="H118" s="482">
        <f>SUM(H119:H121)</f>
        <v>2787912700840</v>
      </c>
      <c r="I118" s="482"/>
    </row>
    <row r="119" spans="1:9" ht="14.4" outlineLevel="1">
      <c r="A119" s="412" t="s">
        <v>574</v>
      </c>
      <c r="B119" s="412"/>
      <c r="C119" s="412" t="s">
        <v>575</v>
      </c>
      <c r="D119" s="483"/>
      <c r="E119" s="481"/>
      <c r="F119" s="481"/>
      <c r="G119" s="481"/>
      <c r="H119" s="481"/>
      <c r="I119" s="481"/>
    </row>
    <row r="120" spans="1:9" ht="14.4" outlineLevel="1">
      <c r="A120" s="412" t="s">
        <v>576</v>
      </c>
      <c r="B120" s="412"/>
      <c r="C120" s="412" t="s">
        <v>577</v>
      </c>
      <c r="D120" s="483"/>
      <c r="E120" s="481">
        <v>1892131002372</v>
      </c>
      <c r="F120" s="481">
        <v>2007397494749</v>
      </c>
      <c r="G120" s="481">
        <v>2180945411694</v>
      </c>
      <c r="H120" s="481">
        <v>2787912700840</v>
      </c>
      <c r="I120" s="481"/>
    </row>
    <row r="121" spans="1:9" ht="14.4" outlineLevel="1">
      <c r="A121" s="412" t="s">
        <v>578</v>
      </c>
      <c r="B121" s="412"/>
      <c r="C121" s="412" t="s">
        <v>579</v>
      </c>
      <c r="D121" s="483"/>
      <c r="E121" s="481"/>
      <c r="F121" s="481"/>
      <c r="G121" s="481"/>
      <c r="H121" s="481"/>
      <c r="I121" s="481"/>
    </row>
    <row r="122" spans="1:9" s="4" customFormat="1" ht="14.4">
      <c r="A122" s="410" t="s">
        <v>580</v>
      </c>
      <c r="B122" s="410"/>
      <c r="C122" s="410" t="s">
        <v>581</v>
      </c>
      <c r="D122" s="484"/>
      <c r="E122" s="482">
        <f t="shared" ref="E122:H122" si="22">SUM(E123:E128)</f>
        <v>0</v>
      </c>
      <c r="F122" s="482">
        <f t="shared" si="22"/>
        <v>0</v>
      </c>
      <c r="G122" s="482">
        <f t="shared" si="22"/>
        <v>0</v>
      </c>
      <c r="H122" s="482">
        <f t="shared" si="22"/>
        <v>0</v>
      </c>
      <c r="I122" s="482"/>
    </row>
    <row r="123" spans="1:9" ht="14.4" outlineLevel="1">
      <c r="A123" s="412" t="s">
        <v>582</v>
      </c>
      <c r="B123" s="412"/>
      <c r="C123" s="412" t="s">
        <v>583</v>
      </c>
      <c r="D123" s="483"/>
      <c r="E123" s="481"/>
      <c r="F123" s="481"/>
      <c r="G123" s="481"/>
      <c r="H123" s="481"/>
      <c r="I123" s="481"/>
    </row>
    <row r="124" spans="1:9" ht="14.4" outlineLevel="1">
      <c r="A124" s="412" t="s">
        <v>584</v>
      </c>
      <c r="B124" s="412"/>
      <c r="C124" s="412" t="s">
        <v>585</v>
      </c>
      <c r="D124" s="483"/>
      <c r="E124" s="481"/>
      <c r="F124" s="481"/>
      <c r="G124" s="481"/>
      <c r="H124" s="481"/>
      <c r="I124" s="481"/>
    </row>
    <row r="125" spans="1:9" ht="14.4" outlineLevel="1">
      <c r="A125" s="412" t="s">
        <v>586</v>
      </c>
      <c r="B125" s="412"/>
      <c r="C125" s="412" t="s">
        <v>587</v>
      </c>
      <c r="D125" s="483"/>
      <c r="E125" s="481"/>
      <c r="F125" s="481"/>
      <c r="G125" s="481"/>
      <c r="H125" s="481"/>
      <c r="I125" s="481"/>
    </row>
    <row r="126" spans="1:9" ht="14.4" outlineLevel="1">
      <c r="A126" s="412" t="s">
        <v>588</v>
      </c>
      <c r="B126" s="412"/>
      <c r="C126" s="412" t="s">
        <v>589</v>
      </c>
      <c r="D126" s="483"/>
      <c r="E126" s="481"/>
      <c r="F126" s="481"/>
      <c r="G126" s="481"/>
      <c r="H126" s="481"/>
      <c r="I126" s="481"/>
    </row>
    <row r="127" spans="1:9" ht="14.4" outlineLevel="1">
      <c r="A127" s="412" t="s">
        <v>590</v>
      </c>
      <c r="B127" s="412"/>
      <c r="C127" s="412" t="s">
        <v>591</v>
      </c>
      <c r="D127" s="483"/>
      <c r="E127" s="481"/>
      <c r="F127" s="481"/>
      <c r="G127" s="481"/>
      <c r="H127" s="481"/>
      <c r="I127" s="481"/>
    </row>
    <row r="128" spans="1:9" ht="14.4" outlineLevel="1">
      <c r="A128" s="412" t="s">
        <v>592</v>
      </c>
      <c r="B128" s="412"/>
      <c r="C128" s="412" t="s">
        <v>593</v>
      </c>
      <c r="D128" s="483"/>
      <c r="E128" s="481"/>
      <c r="F128" s="481"/>
      <c r="G128" s="481"/>
      <c r="H128" s="481"/>
      <c r="I128" s="481"/>
    </row>
    <row r="129" spans="1:9" s="4" customFormat="1" ht="14.4">
      <c r="A129" s="410" t="s">
        <v>594</v>
      </c>
      <c r="B129" s="410"/>
      <c r="C129" s="410" t="s">
        <v>271</v>
      </c>
      <c r="D129" s="484"/>
      <c r="E129" s="482">
        <f t="shared" ref="E129:H129" si="23">SUM(E130:E137)</f>
        <v>1289742189373</v>
      </c>
      <c r="F129" s="482">
        <f t="shared" si="23"/>
        <v>1348668597428</v>
      </c>
      <c r="G129" s="482">
        <f t="shared" si="23"/>
        <v>1526506042396</v>
      </c>
      <c r="H129" s="482">
        <f t="shared" si="23"/>
        <v>1944451859272</v>
      </c>
      <c r="I129" s="482"/>
    </row>
    <row r="130" spans="1:9" ht="14.4" outlineLevel="1">
      <c r="A130" s="412" t="s">
        <v>595</v>
      </c>
      <c r="B130" s="412"/>
      <c r="C130" s="412" t="s">
        <v>596</v>
      </c>
      <c r="D130" s="483"/>
      <c r="E130" s="481"/>
      <c r="F130" s="481"/>
      <c r="G130" s="481"/>
      <c r="H130" s="481"/>
      <c r="I130" s="481"/>
    </row>
    <row r="131" spans="1:9" ht="14.4" outlineLevel="1">
      <c r="A131" s="412" t="s">
        <v>597</v>
      </c>
      <c r="B131" s="412"/>
      <c r="C131" s="412" t="s">
        <v>598</v>
      </c>
      <c r="D131" s="483"/>
      <c r="E131" s="481"/>
      <c r="F131" s="481"/>
      <c r="G131" s="481"/>
      <c r="H131" s="481"/>
      <c r="I131" s="481"/>
    </row>
    <row r="132" spans="1:9" ht="14.4" outlineLevel="1">
      <c r="A132" s="412" t="s">
        <v>599</v>
      </c>
      <c r="B132" s="412"/>
      <c r="C132" s="412" t="s">
        <v>600</v>
      </c>
      <c r="D132" s="483"/>
      <c r="E132" s="481">
        <v>1289742189373</v>
      </c>
      <c r="F132" s="481">
        <v>1348668597428</v>
      </c>
      <c r="G132" s="481">
        <v>1526506042396</v>
      </c>
      <c r="H132" s="481">
        <v>1944451859272</v>
      </c>
      <c r="I132" s="481"/>
    </row>
    <row r="133" spans="1:9" ht="28.8" outlineLevel="1">
      <c r="A133" s="412" t="s">
        <v>601</v>
      </c>
      <c r="B133" s="412"/>
      <c r="C133" s="412" t="s">
        <v>602</v>
      </c>
      <c r="D133" s="483"/>
      <c r="E133" s="481"/>
      <c r="F133" s="481"/>
      <c r="G133" s="481"/>
      <c r="H133" s="481"/>
      <c r="I133" s="481"/>
    </row>
    <row r="134" spans="1:9" ht="14.4" outlineLevel="1">
      <c r="A134" s="412" t="s">
        <v>603</v>
      </c>
      <c r="B134" s="412"/>
      <c r="C134" s="412" t="s">
        <v>604</v>
      </c>
      <c r="D134" s="483"/>
      <c r="E134" s="481"/>
      <c r="F134" s="481"/>
      <c r="G134" s="481"/>
      <c r="H134" s="481"/>
      <c r="I134" s="481"/>
    </row>
    <row r="135" spans="1:9" ht="14.4" outlineLevel="1">
      <c r="A135" s="412" t="s">
        <v>605</v>
      </c>
      <c r="B135" s="412"/>
      <c r="C135" s="412" t="s">
        <v>606</v>
      </c>
      <c r="D135" s="483"/>
      <c r="E135" s="481"/>
      <c r="F135" s="481"/>
      <c r="G135" s="481"/>
      <c r="H135" s="481"/>
      <c r="I135" s="481"/>
    </row>
    <row r="136" spans="1:9" ht="14.4" outlineLevel="1">
      <c r="A136" s="412" t="s">
        <v>607</v>
      </c>
      <c r="B136" s="412"/>
      <c r="C136" s="412" t="s">
        <v>608</v>
      </c>
      <c r="D136" s="483"/>
      <c r="E136" s="481"/>
      <c r="F136" s="481"/>
      <c r="G136" s="481"/>
      <c r="H136" s="481"/>
      <c r="I136" s="481"/>
    </row>
    <row r="137" spans="1:9" ht="28.8" outlineLevel="1">
      <c r="A137" s="412" t="s">
        <v>609</v>
      </c>
      <c r="B137" s="412"/>
      <c r="C137" s="412" t="s">
        <v>610</v>
      </c>
      <c r="D137" s="483"/>
      <c r="E137" s="481"/>
      <c r="F137" s="481"/>
      <c r="G137" s="481"/>
      <c r="H137" s="481"/>
      <c r="I137" s="481"/>
    </row>
    <row r="138" spans="1:9" s="4" customFormat="1" ht="14.4">
      <c r="A138" s="410" t="s">
        <v>611</v>
      </c>
      <c r="B138" s="410"/>
      <c r="C138" s="410" t="s">
        <v>275</v>
      </c>
      <c r="D138" s="484"/>
      <c r="E138" s="482">
        <f t="shared" ref="E138:H138" si="24">SUM(E139:E147)</f>
        <v>13015325965</v>
      </c>
      <c r="F138" s="482">
        <f t="shared" si="24"/>
        <v>34600874362</v>
      </c>
      <c r="G138" s="482">
        <f t="shared" si="24"/>
        <v>31124814810</v>
      </c>
      <c r="H138" s="482">
        <f t="shared" si="24"/>
        <v>264039063299</v>
      </c>
      <c r="I138" s="482"/>
    </row>
    <row r="139" spans="1:9" ht="14.4" outlineLevel="1">
      <c r="A139" s="412" t="s">
        <v>612</v>
      </c>
      <c r="B139" s="412"/>
      <c r="C139" s="412" t="s">
        <v>613</v>
      </c>
      <c r="D139" s="483"/>
      <c r="E139" s="481">
        <v>11231811523</v>
      </c>
      <c r="F139" s="481">
        <v>27353187905</v>
      </c>
      <c r="G139" s="481">
        <v>28617412106</v>
      </c>
      <c r="H139" s="481">
        <v>30826499682</v>
      </c>
      <c r="I139" s="481"/>
    </row>
    <row r="140" spans="1:9" ht="14.4" outlineLevel="1">
      <c r="A140" s="412" t="s">
        <v>614</v>
      </c>
      <c r="B140" s="412"/>
      <c r="C140" s="412" t="s">
        <v>615</v>
      </c>
      <c r="D140" s="483"/>
      <c r="E140" s="481"/>
      <c r="F140" s="481"/>
      <c r="G140" s="481"/>
      <c r="H140" s="481"/>
      <c r="I140" s="481"/>
    </row>
    <row r="141" spans="1:9" ht="14.4" outlineLevel="1">
      <c r="A141" s="412" t="s">
        <v>616</v>
      </c>
      <c r="B141" s="412"/>
      <c r="C141" s="412" t="s">
        <v>617</v>
      </c>
      <c r="D141" s="483"/>
      <c r="E141" s="481"/>
      <c r="F141" s="481"/>
      <c r="G141" s="481"/>
      <c r="H141" s="481"/>
      <c r="I141" s="481"/>
    </row>
    <row r="142" spans="1:9" ht="14.4" outlineLevel="1">
      <c r="A142" s="412" t="s">
        <v>618</v>
      </c>
      <c r="B142" s="412"/>
      <c r="C142" s="412" t="s">
        <v>619</v>
      </c>
      <c r="D142" s="483"/>
      <c r="E142" s="481"/>
      <c r="F142" s="481"/>
      <c r="G142" s="481"/>
      <c r="H142" s="481">
        <f>32771091959+3604240168</f>
        <v>36375332127</v>
      </c>
      <c r="I142" s="481"/>
    </row>
    <row r="143" spans="1:9" ht="14.4" outlineLevel="1">
      <c r="A143" s="412" t="s">
        <v>620</v>
      </c>
      <c r="B143" s="412"/>
      <c r="C143" s="412" t="s">
        <v>621</v>
      </c>
      <c r="D143" s="483"/>
      <c r="E143" s="481"/>
      <c r="F143" s="481"/>
      <c r="G143" s="481"/>
      <c r="H143" s="481"/>
      <c r="I143" s="481"/>
    </row>
    <row r="144" spans="1:9" ht="14.4" outlineLevel="1">
      <c r="A144" s="412" t="s">
        <v>622</v>
      </c>
      <c r="B144" s="412"/>
      <c r="C144" s="412" t="s">
        <v>623</v>
      </c>
      <c r="D144" s="483"/>
      <c r="E144" s="481"/>
      <c r="F144" s="481"/>
      <c r="G144" s="481"/>
      <c r="H144" s="481"/>
      <c r="I144" s="481"/>
    </row>
    <row r="145" spans="1:9" ht="14.4" outlineLevel="1">
      <c r="A145" s="412" t="s">
        <v>624</v>
      </c>
      <c r="B145" s="412"/>
      <c r="C145" s="412" t="s">
        <v>625</v>
      </c>
      <c r="D145" s="483"/>
      <c r="E145" s="481"/>
      <c r="F145" s="481"/>
      <c r="G145" s="481"/>
      <c r="H145" s="481"/>
      <c r="I145" s="481"/>
    </row>
    <row r="146" spans="1:9" ht="14.4" outlineLevel="1">
      <c r="A146" s="412" t="s">
        <v>626</v>
      </c>
      <c r="B146" s="412"/>
      <c r="C146" s="412" t="s">
        <v>627</v>
      </c>
      <c r="D146" s="483"/>
      <c r="E146" s="481"/>
      <c r="F146" s="481"/>
      <c r="G146" s="481"/>
      <c r="H146" s="481"/>
      <c r="I146" s="481"/>
    </row>
    <row r="147" spans="1:9" ht="14.4" outlineLevel="1">
      <c r="A147" s="412" t="s">
        <v>628</v>
      </c>
      <c r="B147" s="412"/>
      <c r="C147" s="412" t="s">
        <v>473</v>
      </c>
      <c r="D147" s="483"/>
      <c r="E147" s="481">
        <v>1783514442</v>
      </c>
      <c r="F147" s="481">
        <v>7247686457</v>
      </c>
      <c r="G147" s="481">
        <v>2507402704</v>
      </c>
      <c r="H147" s="481">
        <f>7651527619+189185703871</f>
        <v>196837231490</v>
      </c>
      <c r="I147" s="481"/>
    </row>
    <row r="148" spans="1:9" s="4" customFormat="1" ht="14.4">
      <c r="A148" s="410" t="s">
        <v>276</v>
      </c>
      <c r="B148" s="410"/>
      <c r="C148" s="410" t="s">
        <v>277</v>
      </c>
      <c r="D148" s="484"/>
      <c r="E148" s="482">
        <f t="shared" ref="E148:H148" si="25">SUM(E149:E156)</f>
        <v>1977959712</v>
      </c>
      <c r="F148" s="482">
        <f t="shared" si="25"/>
        <v>5019819879</v>
      </c>
      <c r="G148" s="482">
        <f t="shared" si="25"/>
        <v>172619631145</v>
      </c>
      <c r="H148" s="482">
        <f t="shared" si="25"/>
        <v>219383871885</v>
      </c>
      <c r="I148" s="482"/>
    </row>
    <row r="149" spans="1:9" ht="14.4" outlineLevel="1">
      <c r="A149" s="412" t="s">
        <v>629</v>
      </c>
      <c r="B149" s="412"/>
      <c r="C149" s="412" t="s">
        <v>630</v>
      </c>
      <c r="D149" s="483"/>
      <c r="E149" s="481"/>
      <c r="F149" s="481">
        <v>1104887671</v>
      </c>
      <c r="G149" s="481">
        <v>170446855907</v>
      </c>
      <c r="H149" s="481">
        <v>167149402470</v>
      </c>
      <c r="I149" s="481"/>
    </row>
    <row r="150" spans="1:9" ht="28.8" outlineLevel="1">
      <c r="A150" s="412" t="s">
        <v>631</v>
      </c>
      <c r="B150" s="412"/>
      <c r="C150" s="412" t="s">
        <v>632</v>
      </c>
      <c r="D150" s="483"/>
      <c r="E150" s="481"/>
      <c r="F150" s="481"/>
      <c r="G150" s="481"/>
      <c r="H150" s="481"/>
      <c r="I150" s="481"/>
    </row>
    <row r="151" spans="1:9" ht="28.8" outlineLevel="1">
      <c r="A151" s="412" t="s">
        <v>633</v>
      </c>
      <c r="B151" s="412"/>
      <c r="C151" s="412" t="s">
        <v>634</v>
      </c>
      <c r="D151" s="483"/>
      <c r="E151" s="481"/>
      <c r="F151" s="481"/>
      <c r="G151" s="481"/>
      <c r="H151" s="481">
        <v>21577282084</v>
      </c>
      <c r="I151" s="481"/>
    </row>
    <row r="152" spans="1:9" ht="14.4" outlineLevel="1">
      <c r="A152" s="412" t="s">
        <v>635</v>
      </c>
      <c r="B152" s="412"/>
      <c r="C152" s="412" t="s">
        <v>636</v>
      </c>
      <c r="D152" s="483"/>
      <c r="E152" s="481"/>
      <c r="F152" s="481"/>
      <c r="G152" s="481"/>
      <c r="H152" s="481"/>
      <c r="I152" s="481"/>
    </row>
    <row r="153" spans="1:9" ht="14.4" outlineLevel="1">
      <c r="A153" s="412" t="s">
        <v>637</v>
      </c>
      <c r="B153" s="412"/>
      <c r="C153" s="412" t="s">
        <v>638</v>
      </c>
      <c r="D153" s="483"/>
      <c r="E153" s="481"/>
      <c r="F153" s="481">
        <v>3914932208</v>
      </c>
      <c r="G153" s="481">
        <v>2172775238</v>
      </c>
      <c r="H153" s="481"/>
      <c r="I153" s="481"/>
    </row>
    <row r="154" spans="1:9" ht="14.4" outlineLevel="1">
      <c r="A154" s="412" t="s">
        <v>639</v>
      </c>
      <c r="B154" s="412"/>
      <c r="C154" s="412" t="s">
        <v>640</v>
      </c>
      <c r="D154" s="483"/>
      <c r="E154" s="481"/>
      <c r="F154" s="481"/>
      <c r="G154" s="481"/>
      <c r="H154" s="481"/>
      <c r="I154" s="481"/>
    </row>
    <row r="155" spans="1:9" ht="28.8" outlineLevel="1">
      <c r="A155" s="412" t="s">
        <v>641</v>
      </c>
      <c r="B155" s="412"/>
      <c r="C155" s="412" t="s">
        <v>642</v>
      </c>
      <c r="D155" s="483"/>
      <c r="E155" s="481"/>
      <c r="F155" s="481"/>
      <c r="G155" s="481"/>
      <c r="H155" s="481">
        <v>26064875167</v>
      </c>
      <c r="I155" s="481"/>
    </row>
    <row r="156" spans="1:9" ht="14.4" outlineLevel="1">
      <c r="A156" s="412" t="s">
        <v>643</v>
      </c>
      <c r="B156" s="412"/>
      <c r="C156" s="412" t="s">
        <v>473</v>
      </c>
      <c r="D156" s="483"/>
      <c r="E156" s="481">
        <v>1977959712</v>
      </c>
      <c r="F156" s="481"/>
      <c r="G156" s="481"/>
      <c r="H156" s="481">
        <v>4592312164</v>
      </c>
      <c r="I156" s="481"/>
    </row>
    <row r="157" spans="1:9" s="4" customFormat="1" ht="14.4">
      <c r="A157" s="410" t="s">
        <v>644</v>
      </c>
      <c r="B157" s="410"/>
      <c r="C157" s="410" t="s">
        <v>645</v>
      </c>
      <c r="D157" s="484"/>
      <c r="E157" s="482">
        <f t="shared" ref="E157:H157" si="26">SUM(E158:E162)</f>
        <v>1419181591526</v>
      </c>
      <c r="F157" s="482">
        <f t="shared" si="26"/>
        <v>1533253274499</v>
      </c>
      <c r="G157" s="482">
        <f t="shared" si="26"/>
        <v>1753455573655</v>
      </c>
      <c r="H157" s="482">
        <f t="shared" si="26"/>
        <v>2279852430746</v>
      </c>
      <c r="I157" s="482"/>
    </row>
    <row r="158" spans="1:9" ht="14.4" outlineLevel="1">
      <c r="A158" s="412" t="s">
        <v>646</v>
      </c>
      <c r="B158" s="412"/>
      <c r="C158" s="412" t="s">
        <v>442</v>
      </c>
      <c r="D158" s="483"/>
      <c r="E158" s="481">
        <v>138497505959</v>
      </c>
      <c r="F158" s="481">
        <v>209840341607</v>
      </c>
      <c r="G158" s="481">
        <v>174833279599</v>
      </c>
      <c r="H158" s="481">
        <v>176805916928</v>
      </c>
      <c r="I158" s="481"/>
    </row>
    <row r="159" spans="1:9" ht="14.4" outlineLevel="1">
      <c r="A159" s="412" t="s">
        <v>647</v>
      </c>
      <c r="B159" s="412"/>
      <c r="C159" s="412" t="s">
        <v>648</v>
      </c>
      <c r="D159" s="483"/>
      <c r="E159" s="481">
        <v>286828460685</v>
      </c>
      <c r="F159" s="481">
        <v>311382278820</v>
      </c>
      <c r="G159" s="481">
        <v>368910249822</v>
      </c>
      <c r="H159" s="481">
        <v>384763275501</v>
      </c>
      <c r="I159" s="481"/>
    </row>
    <row r="160" spans="1:9" ht="14.4" outlineLevel="1">
      <c r="A160" s="412" t="s">
        <v>649</v>
      </c>
      <c r="B160" s="412"/>
      <c r="C160" s="412" t="s">
        <v>650</v>
      </c>
      <c r="D160" s="483"/>
      <c r="E160" s="481">
        <v>200434357266</v>
      </c>
      <c r="F160" s="481">
        <v>201526522056</v>
      </c>
      <c r="G160" s="481">
        <v>193367525445</v>
      </c>
      <c r="H160" s="481">
        <v>254230428893</v>
      </c>
      <c r="I160" s="481"/>
    </row>
    <row r="161" spans="1:9" ht="14.4" outlineLevel="1">
      <c r="A161" s="412" t="s">
        <v>651</v>
      </c>
      <c r="B161" s="412"/>
      <c r="C161" s="412" t="s">
        <v>652</v>
      </c>
      <c r="D161" s="483"/>
      <c r="E161" s="481">
        <v>513905619374</v>
      </c>
      <c r="F161" s="481">
        <v>562566703743</v>
      </c>
      <c r="G161" s="481">
        <f>646819884963+85556846000+75741638899</f>
        <v>808118369862</v>
      </c>
      <c r="H161" s="481">
        <f>861443412650+194750585346+142324125989</f>
        <v>1198518123985</v>
      </c>
      <c r="I161" s="481"/>
    </row>
    <row r="162" spans="1:9" ht="14.4" outlineLevel="1">
      <c r="A162" s="485" t="s">
        <v>653</v>
      </c>
      <c r="B162" s="485"/>
      <c r="C162" s="485" t="s">
        <v>654</v>
      </c>
      <c r="D162" s="434"/>
      <c r="E162" s="486">
        <v>279515648242</v>
      </c>
      <c r="F162" s="486">
        <v>247937428273</v>
      </c>
      <c r="G162" s="486">
        <f>71556476807+39726685692+96942986428</f>
        <v>208226148927</v>
      </c>
      <c r="H162" s="486">
        <f>97239949528+39129068319+13212552133+115953115459</f>
        <v>265534685439</v>
      </c>
      <c r="I162" s="487"/>
    </row>
    <row r="163" spans="1:9" ht="14.4">
      <c r="A163" s="165"/>
      <c r="B163" s="165"/>
      <c r="C163" s="165"/>
      <c r="D163" s="165"/>
      <c r="E163" s="477"/>
      <c r="F163" s="478"/>
      <c r="G163" s="477"/>
      <c r="H163" s="477"/>
      <c r="I163" s="477"/>
    </row>
    <row r="164" spans="1:9" ht="14.4">
      <c r="A164" s="488" t="s">
        <v>244</v>
      </c>
      <c r="B164" s="488"/>
      <c r="C164" s="488"/>
      <c r="D164" s="245"/>
      <c r="E164" s="461"/>
      <c r="F164" s="461"/>
      <c r="G164" s="461"/>
      <c r="H164" s="461"/>
      <c r="I164" s="461"/>
    </row>
    <row r="165" spans="1:9" ht="14.4">
      <c r="A165" s="455" t="s">
        <v>412</v>
      </c>
      <c r="B165" s="425"/>
      <c r="C165" s="425" t="s">
        <v>413</v>
      </c>
      <c r="D165" s="468"/>
      <c r="E165" s="469">
        <f t="shared" ref="E165:H165" si="27">E6-SUM(E7:E10)</f>
        <v>0</v>
      </c>
      <c r="F165" s="469">
        <f t="shared" si="27"/>
        <v>0</v>
      </c>
      <c r="G165" s="469">
        <f t="shared" si="27"/>
        <v>0</v>
      </c>
      <c r="H165" s="470">
        <f t="shared" si="27"/>
        <v>0</v>
      </c>
      <c r="I165" s="471">
        <f>I6-SUM(I7:I10)</f>
        <v>0</v>
      </c>
    </row>
    <row r="166" spans="1:9" ht="14.4">
      <c r="A166" s="456" t="s">
        <v>655</v>
      </c>
      <c r="B166" s="430"/>
      <c r="C166" s="430" t="s">
        <v>656</v>
      </c>
      <c r="D166" s="472"/>
      <c r="E166" s="471">
        <f t="shared" ref="E166:H166" si="28">E11-SUM(E12:E17)</f>
        <v>0</v>
      </c>
      <c r="F166" s="471">
        <f t="shared" si="28"/>
        <v>0</v>
      </c>
      <c r="G166" s="471">
        <f t="shared" si="28"/>
        <v>0</v>
      </c>
      <c r="H166" s="471">
        <f t="shared" si="28"/>
        <v>0</v>
      </c>
      <c r="I166" s="471">
        <f>I11-SUM(I12:I17)</f>
        <v>0</v>
      </c>
    </row>
    <row r="167" spans="1:9" ht="14.4">
      <c r="A167" s="456" t="s">
        <v>657</v>
      </c>
      <c r="B167" s="430"/>
      <c r="C167" s="430" t="s">
        <v>658</v>
      </c>
      <c r="D167" s="472"/>
      <c r="E167" s="471">
        <f t="shared" ref="E167:H167" si="29">E18-SUM(E19:E22)</f>
        <v>0</v>
      </c>
      <c r="F167" s="471">
        <f t="shared" si="29"/>
        <v>0</v>
      </c>
      <c r="G167" s="471">
        <f t="shared" si="29"/>
        <v>0</v>
      </c>
      <c r="H167" s="473">
        <f t="shared" si="29"/>
        <v>0</v>
      </c>
      <c r="I167" s="471">
        <f>I18-SUM(I19:I22)</f>
        <v>0</v>
      </c>
    </row>
    <row r="168" spans="1:9" ht="14.4">
      <c r="A168" s="456" t="s">
        <v>437</v>
      </c>
      <c r="B168" s="430"/>
      <c r="C168" s="430" t="s">
        <v>659</v>
      </c>
      <c r="D168" s="472"/>
      <c r="E168" s="471">
        <f t="shared" ref="E168:H168" si="30">E23-SUM(E24:E32)</f>
        <v>0</v>
      </c>
      <c r="F168" s="471">
        <f t="shared" si="30"/>
        <v>0</v>
      </c>
      <c r="G168" s="471">
        <f t="shared" si="30"/>
        <v>0</v>
      </c>
      <c r="H168" s="473">
        <f t="shared" si="30"/>
        <v>0</v>
      </c>
      <c r="I168" s="471">
        <f>I23-SUM(I24:I32)</f>
        <v>0</v>
      </c>
    </row>
    <row r="169" spans="1:9" ht="14.4">
      <c r="A169" s="456" t="s">
        <v>457</v>
      </c>
      <c r="B169" s="430"/>
      <c r="C169" s="430" t="s">
        <v>49</v>
      </c>
      <c r="D169" s="472"/>
      <c r="E169" s="471">
        <f t="shared" ref="E169:H169" si="31">E38-SUM(E39:E42)</f>
        <v>0</v>
      </c>
      <c r="F169" s="471">
        <f t="shared" si="31"/>
        <v>0</v>
      </c>
      <c r="G169" s="471">
        <f t="shared" si="31"/>
        <v>0</v>
      </c>
      <c r="H169" s="473">
        <f t="shared" si="31"/>
        <v>0</v>
      </c>
      <c r="I169" s="471">
        <f>I38-SUM(I39:I42)</f>
        <v>0</v>
      </c>
    </row>
    <row r="170" spans="1:9" ht="14.4">
      <c r="A170" s="456" t="s">
        <v>78</v>
      </c>
      <c r="B170" s="430"/>
      <c r="C170" s="430" t="s">
        <v>660</v>
      </c>
      <c r="D170" s="472"/>
      <c r="E170" s="471">
        <f t="shared" ref="E170:H170" si="32">E43-SUM(E44:E46)</f>
        <v>0</v>
      </c>
      <c r="F170" s="471">
        <f t="shared" si="32"/>
        <v>0</v>
      </c>
      <c r="G170" s="471">
        <f t="shared" si="32"/>
        <v>0</v>
      </c>
      <c r="H170" s="473">
        <f t="shared" si="32"/>
        <v>0</v>
      </c>
      <c r="I170" s="471">
        <f>I43-SUM(I44:I46)</f>
        <v>0</v>
      </c>
    </row>
    <row r="171" spans="1:9" ht="14.4">
      <c r="A171" s="456" t="s">
        <v>661</v>
      </c>
      <c r="B171" s="430"/>
      <c r="C171" s="430" t="s">
        <v>662</v>
      </c>
      <c r="D171" s="472"/>
      <c r="E171" s="471">
        <f t="shared" ref="E171:H171" si="33">E99-SUM(E100:E108)</f>
        <v>0</v>
      </c>
      <c r="F171" s="471">
        <f t="shared" si="33"/>
        <v>0</v>
      </c>
      <c r="G171" s="471">
        <f t="shared" si="33"/>
        <v>0</v>
      </c>
      <c r="H171" s="473">
        <f t="shared" si="33"/>
        <v>0</v>
      </c>
      <c r="I171" s="471">
        <f>I99-SUM(I100:I108)</f>
        <v>0</v>
      </c>
    </row>
    <row r="172" spans="1:9" ht="14.4">
      <c r="A172" s="456" t="s">
        <v>253</v>
      </c>
      <c r="B172" s="430"/>
      <c r="C172" s="430" t="s">
        <v>663</v>
      </c>
      <c r="D172" s="472"/>
      <c r="E172" s="471">
        <f t="shared" ref="E172:H172" si="34">E109-SUM(E110:E114)</f>
        <v>0</v>
      </c>
      <c r="F172" s="471">
        <f t="shared" si="34"/>
        <v>0</v>
      </c>
      <c r="G172" s="471">
        <f t="shared" si="34"/>
        <v>0</v>
      </c>
      <c r="H172" s="473">
        <f t="shared" si="34"/>
        <v>0</v>
      </c>
      <c r="I172" s="471">
        <f>I109-SUM(I110:I114)</f>
        <v>0</v>
      </c>
    </row>
    <row r="173" spans="1:9" ht="14.4">
      <c r="A173" s="456" t="s">
        <v>573</v>
      </c>
      <c r="B173" s="430"/>
      <c r="C173" s="430" t="s">
        <v>664</v>
      </c>
      <c r="D173" s="472"/>
      <c r="E173" s="471">
        <f t="shared" ref="E173:H173" si="35">E118-SUM(E119:E121)</f>
        <v>0</v>
      </c>
      <c r="F173" s="471">
        <f t="shared" si="35"/>
        <v>0</v>
      </c>
      <c r="G173" s="471">
        <f t="shared" si="35"/>
        <v>0</v>
      </c>
      <c r="H173" s="473">
        <f t="shared" si="35"/>
        <v>0</v>
      </c>
      <c r="I173" s="471">
        <f>I118-SUM(I119:I121)</f>
        <v>0</v>
      </c>
    </row>
    <row r="174" spans="1:9" ht="14.4">
      <c r="A174" s="456" t="s">
        <v>270</v>
      </c>
      <c r="B174" s="430"/>
      <c r="C174" s="430" t="s">
        <v>665</v>
      </c>
      <c r="D174" s="472"/>
      <c r="E174" s="471">
        <f>E129-SUM(E130:E137)</f>
        <v>0</v>
      </c>
      <c r="F174" s="471">
        <f>F129-SUM(F130:F137)</f>
        <v>0</v>
      </c>
      <c r="G174" s="471">
        <f t="shared" ref="G174:H174" si="36">G129-SUM(G130:G137)</f>
        <v>0</v>
      </c>
      <c r="H174" s="473">
        <f t="shared" si="36"/>
        <v>0</v>
      </c>
      <c r="I174" s="471">
        <f>I129-SUM(I130:I137)</f>
        <v>0</v>
      </c>
    </row>
    <row r="175" spans="1:9" ht="14.4">
      <c r="A175" s="456" t="s">
        <v>611</v>
      </c>
      <c r="B175" s="430"/>
      <c r="C175" s="430" t="s">
        <v>666</v>
      </c>
      <c r="D175" s="472"/>
      <c r="E175" s="471">
        <f t="shared" ref="E175:H175" si="37">E138-SUM(E139:E147)</f>
        <v>0</v>
      </c>
      <c r="F175" s="471">
        <f t="shared" si="37"/>
        <v>0</v>
      </c>
      <c r="G175" s="471">
        <f t="shared" si="37"/>
        <v>0</v>
      </c>
      <c r="H175" s="473">
        <f t="shared" si="37"/>
        <v>0</v>
      </c>
      <c r="I175" s="471">
        <f>I138-SUM(I139:I147)</f>
        <v>0</v>
      </c>
    </row>
    <row r="176" spans="1:9" ht="14.4">
      <c r="A176" s="456" t="s">
        <v>276</v>
      </c>
      <c r="B176" s="430"/>
      <c r="C176" s="430" t="s">
        <v>667</v>
      </c>
      <c r="D176" s="472"/>
      <c r="E176" s="471">
        <f t="shared" ref="E176:H176" si="38">E148-SUM(E149:E156)</f>
        <v>0</v>
      </c>
      <c r="F176" s="471">
        <f t="shared" si="38"/>
        <v>0</v>
      </c>
      <c r="G176" s="471">
        <f t="shared" si="38"/>
        <v>0</v>
      </c>
      <c r="H176" s="473">
        <f t="shared" si="38"/>
        <v>0</v>
      </c>
      <c r="I176" s="471">
        <f>I148-SUM(I149:I156)</f>
        <v>0</v>
      </c>
    </row>
    <row r="177" spans="1:9" ht="14.4">
      <c r="A177" s="457" t="s">
        <v>668</v>
      </c>
      <c r="B177" s="433"/>
      <c r="C177" s="433" t="s">
        <v>669</v>
      </c>
      <c r="D177" s="474"/>
      <c r="E177" s="475">
        <f t="shared" ref="E177:H177" si="39">E157-SUM(E158:E162)</f>
        <v>0</v>
      </c>
      <c r="F177" s="475">
        <f>F157-SUM(F158:F162)</f>
        <v>0</v>
      </c>
      <c r="G177" s="475">
        <f t="shared" si="39"/>
        <v>0</v>
      </c>
      <c r="H177" s="476">
        <f t="shared" si="39"/>
        <v>0</v>
      </c>
      <c r="I177" s="471">
        <f>I157-SUM(I158:I162)</f>
        <v>0</v>
      </c>
    </row>
  </sheetData>
  <mergeCells count="2">
    <mergeCell ref="A1:A2"/>
    <mergeCell ref="C1:C2"/>
  </mergeCells>
  <conditionalFormatting sqref="E165:I177">
    <cfRule type="cellIs" dxfId="23" priority="1" operator="equal">
      <formula>0</formula>
    </cfRule>
    <cfRule type="cellIs" dxfId="22" priority="2" operator="not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2A138-52EF-4EFA-8B89-893BD4F647F3}">
  <sheetPr>
    <tabColor theme="4"/>
  </sheetPr>
  <dimension ref="B1:U70"/>
  <sheetViews>
    <sheetView tabSelected="1" zoomScaleNormal="100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Q28" sqref="Q28"/>
    </sheetView>
  </sheetViews>
  <sheetFormatPr defaultColWidth="9.109375" defaultRowHeight="21" customHeight="1"/>
  <cols>
    <col min="1" max="1" width="5.109375" style="7" customWidth="1"/>
    <col min="2" max="2" width="43.77734375" style="7" bestFit="1" customWidth="1"/>
    <col min="3" max="3" width="20.77734375" style="8" customWidth="1"/>
    <col min="4" max="7" width="10.77734375" style="7" bestFit="1" customWidth="1"/>
    <col min="8" max="8" width="9.77734375" style="25" bestFit="1" customWidth="1"/>
    <col min="9" max="14" width="8.33203125" style="7" bestFit="1" customWidth="1"/>
    <col min="15" max="16" width="9.109375" style="7"/>
    <col min="17" max="17" width="30.21875" style="7" customWidth="1"/>
    <col min="18" max="18" width="14.44140625" style="7" bestFit="1" customWidth="1"/>
    <col min="19" max="19" width="12" style="7" bestFit="1" customWidth="1"/>
    <col min="20" max="20" width="14.21875" style="7" bestFit="1" customWidth="1"/>
    <col min="21" max="16384" width="9.109375" style="7"/>
  </cols>
  <sheetData>
    <row r="1" spans="2:18" ht="17.399999999999999">
      <c r="B1" s="668" t="s">
        <v>788</v>
      </c>
      <c r="C1" s="490" t="s">
        <v>1076</v>
      </c>
      <c r="D1" s="491">
        <f t="shared" ref="D1:E1" si="0">DATE(D2,12,31)</f>
        <v>44561</v>
      </c>
      <c r="E1" s="491">
        <f t="shared" si="0"/>
        <v>44926</v>
      </c>
      <c r="F1" s="491">
        <f>DATE(F2,12,29)</f>
        <v>45289</v>
      </c>
      <c r="G1" s="491">
        <f>DATE(G2,12,31)</f>
        <v>45657</v>
      </c>
      <c r="H1" s="491">
        <f ca="1">TODAY()-1</f>
        <v>46137</v>
      </c>
      <c r="I1" s="492">
        <v>12</v>
      </c>
      <c r="J1" s="492">
        <v>13</v>
      </c>
      <c r="K1" s="492">
        <v>14</v>
      </c>
      <c r="L1" s="492">
        <v>15</v>
      </c>
      <c r="M1" s="492">
        <v>16</v>
      </c>
      <c r="N1" s="492">
        <v>17</v>
      </c>
      <c r="Q1" s="641" t="s">
        <v>1248</v>
      </c>
      <c r="R1" s="641"/>
    </row>
    <row r="2" spans="2:18" ht="15" thickBot="1">
      <c r="B2" s="669"/>
      <c r="C2" s="493" t="s">
        <v>789</v>
      </c>
      <c r="D2" s="494">
        <f>'IP_BS Raw'!E2</f>
        <v>2021</v>
      </c>
      <c r="E2" s="494">
        <f>'IP_BS Raw'!F2</f>
        <v>2022</v>
      </c>
      <c r="F2" s="494">
        <f>'IP_BS Raw'!G2</f>
        <v>2023</v>
      </c>
      <c r="G2" s="494">
        <f>'IP_BS Raw'!H2</f>
        <v>2024</v>
      </c>
      <c r="H2" s="494">
        <f>'IP_BS Raw'!I2</f>
        <v>2025</v>
      </c>
      <c r="I2" s="492">
        <f>H2+1</f>
        <v>2026</v>
      </c>
      <c r="J2" s="492">
        <f>I2+1</f>
        <v>2027</v>
      </c>
      <c r="K2" s="492">
        <f t="shared" ref="K2:N2" si="1">J2+1</f>
        <v>2028</v>
      </c>
      <c r="L2" s="492">
        <f t="shared" si="1"/>
        <v>2029</v>
      </c>
      <c r="M2" s="492">
        <f t="shared" si="1"/>
        <v>2030</v>
      </c>
      <c r="N2" s="492">
        <f t="shared" si="1"/>
        <v>2031</v>
      </c>
    </row>
    <row r="3" spans="2:18" ht="15" thickBot="1">
      <c r="B3" s="495" t="s">
        <v>790</v>
      </c>
      <c r="C3" s="496"/>
      <c r="D3" s="496"/>
      <c r="E3" s="496"/>
      <c r="F3" s="496"/>
      <c r="G3" s="496"/>
      <c r="H3" s="496"/>
      <c r="I3" s="496"/>
      <c r="J3" s="496"/>
      <c r="K3" s="496"/>
      <c r="L3" s="496"/>
      <c r="M3" s="496"/>
      <c r="N3" s="497"/>
      <c r="Q3" s="642" t="s">
        <v>1249</v>
      </c>
    </row>
    <row r="4" spans="2:18" ht="14.4">
      <c r="B4" s="498" t="s">
        <v>791</v>
      </c>
      <c r="C4" s="499" t="s">
        <v>770</v>
      </c>
      <c r="D4" s="500">
        <v>17070</v>
      </c>
      <c r="E4" s="500">
        <v>13470</v>
      </c>
      <c r="F4" s="500">
        <v>14160</v>
      </c>
      <c r="G4" s="500">
        <v>12340</v>
      </c>
      <c r="H4" s="500">
        <v>9990</v>
      </c>
      <c r="I4" s="501"/>
      <c r="J4" s="501"/>
      <c r="K4" s="501"/>
      <c r="L4" s="501"/>
      <c r="M4" s="501"/>
      <c r="N4" s="501"/>
      <c r="Q4" s="643" t="s">
        <v>1250</v>
      </c>
      <c r="R4" s="644" t="s">
        <v>1251</v>
      </c>
    </row>
    <row r="5" spans="2:18" ht="14.4">
      <c r="B5" s="502" t="s">
        <v>792</v>
      </c>
      <c r="C5" s="503" t="s">
        <v>793</v>
      </c>
      <c r="D5" s="504"/>
      <c r="E5" s="504"/>
      <c r="F5" s="504"/>
      <c r="G5" s="504"/>
      <c r="H5" s="504"/>
      <c r="I5" s="505"/>
      <c r="J5" s="505"/>
      <c r="K5" s="505"/>
      <c r="L5" s="505"/>
      <c r="M5" s="505"/>
      <c r="N5" s="505"/>
      <c r="Q5" s="7" t="s">
        <v>1252</v>
      </c>
      <c r="R5" s="645">
        <v>8.9399999999999993E-2</v>
      </c>
    </row>
    <row r="6" spans="2:18" ht="14.4">
      <c r="B6" s="502" t="s">
        <v>794</v>
      </c>
      <c r="C6" s="503" t="s">
        <v>795</v>
      </c>
      <c r="D6" s="504"/>
      <c r="E6" s="504"/>
      <c r="F6" s="504"/>
      <c r="G6" s="504"/>
      <c r="H6" s="504"/>
      <c r="I6" s="505"/>
      <c r="J6" s="505"/>
      <c r="K6" s="505"/>
      <c r="L6" s="505"/>
      <c r="M6" s="505"/>
      <c r="N6" s="505"/>
      <c r="Q6" s="7" t="s">
        <v>1253</v>
      </c>
      <c r="R6" s="645">
        <v>5.7599999999999998E-2</v>
      </c>
    </row>
    <row r="7" spans="2:18" ht="14.4">
      <c r="B7" s="502" t="s">
        <v>796</v>
      </c>
      <c r="C7" s="503" t="s">
        <v>797</v>
      </c>
      <c r="D7" s="507"/>
      <c r="E7" s="507"/>
      <c r="F7" s="507"/>
      <c r="G7" s="507"/>
      <c r="H7" s="507"/>
      <c r="I7" s="508"/>
      <c r="J7" s="508"/>
      <c r="K7" s="508"/>
      <c r="L7" s="508"/>
      <c r="M7" s="508"/>
      <c r="N7" s="508"/>
      <c r="Q7" s="7" t="s">
        <v>1254</v>
      </c>
      <c r="R7" s="645">
        <v>4.99E-2</v>
      </c>
    </row>
    <row r="8" spans="2:18" ht="14.4">
      <c r="B8" s="502" t="s">
        <v>798</v>
      </c>
      <c r="C8" s="503" t="s">
        <v>799</v>
      </c>
      <c r="D8" s="509">
        <f t="shared" ref="D8:N8" si="2">D46/1000000</f>
        <v>31.279968</v>
      </c>
      <c r="E8" s="509">
        <f t="shared" si="2"/>
        <v>31.279968</v>
      </c>
      <c r="F8" s="509">
        <f t="shared" si="2"/>
        <v>131.353264</v>
      </c>
      <c r="G8" s="509">
        <f t="shared" si="2"/>
        <v>137.001454</v>
      </c>
      <c r="H8" s="509">
        <f t="shared" si="2"/>
        <v>191.80203499999999</v>
      </c>
      <c r="I8" s="510">
        <f t="shared" si="2"/>
        <v>191.80203499999999</v>
      </c>
      <c r="J8" s="510">
        <f t="shared" si="2"/>
        <v>191.80203499999999</v>
      </c>
      <c r="K8" s="510">
        <f t="shared" si="2"/>
        <v>191.80203499999999</v>
      </c>
      <c r="L8" s="510">
        <f t="shared" si="2"/>
        <v>191.80203499999999</v>
      </c>
      <c r="M8" s="510">
        <f t="shared" si="2"/>
        <v>191.80203499999999</v>
      </c>
      <c r="N8" s="510">
        <f t="shared" si="2"/>
        <v>191.80203499999999</v>
      </c>
      <c r="Q8" s="7" t="s">
        <v>1255</v>
      </c>
      <c r="R8" s="645">
        <v>4.7600000000000003E-2</v>
      </c>
    </row>
    <row r="9" spans="2:18" ht="14.4">
      <c r="B9" s="502" t="s">
        <v>976</v>
      </c>
      <c r="C9" s="503" t="s">
        <v>800</v>
      </c>
      <c r="D9" s="511">
        <f t="shared" ref="D9:G9" si="3">D4*D8</f>
        <v>533949.05376000004</v>
      </c>
      <c r="E9" s="511">
        <f t="shared" si="3"/>
        <v>421341.16895999998</v>
      </c>
      <c r="F9" s="511">
        <f t="shared" si="3"/>
        <v>1859962.2182399998</v>
      </c>
      <c r="G9" s="511">
        <f t="shared" si="3"/>
        <v>1690597.94236</v>
      </c>
      <c r="H9" s="511">
        <f>H4*H8</f>
        <v>1916102.32965</v>
      </c>
      <c r="I9" s="512"/>
      <c r="J9" s="512"/>
      <c r="K9" s="512"/>
      <c r="L9" s="512"/>
      <c r="M9" s="512"/>
      <c r="N9" s="512"/>
      <c r="Q9" s="7" t="s">
        <v>1256</v>
      </c>
      <c r="R9" s="645">
        <v>4.3999999999999997E-2</v>
      </c>
    </row>
    <row r="10" spans="2:18" ht="14.4">
      <c r="B10" s="502" t="s">
        <v>801</v>
      </c>
      <c r="C10" s="503"/>
      <c r="D10" s="513" t="s">
        <v>802</v>
      </c>
      <c r="E10" s="513" t="s">
        <v>802</v>
      </c>
      <c r="F10" s="513" t="s">
        <v>802</v>
      </c>
      <c r="G10" s="513" t="s">
        <v>802</v>
      </c>
      <c r="H10" s="513">
        <f>1-78.07%</f>
        <v>0.21930000000000005</v>
      </c>
      <c r="I10" s="514"/>
      <c r="J10" s="514"/>
      <c r="K10" s="514"/>
      <c r="L10" s="514"/>
      <c r="M10" s="514"/>
      <c r="N10" s="514"/>
      <c r="Q10" s="7" t="s">
        <v>1257</v>
      </c>
      <c r="R10" s="645">
        <v>4.2999999999999997E-2</v>
      </c>
    </row>
    <row r="11" spans="2:18" ht="14.4">
      <c r="B11" s="502" t="s">
        <v>803</v>
      </c>
      <c r="C11" s="503"/>
      <c r="D11" s="513" t="s">
        <v>802</v>
      </c>
      <c r="E11" s="513" t="s">
        <v>802</v>
      </c>
      <c r="F11" s="513"/>
      <c r="G11" s="513" t="s">
        <v>802</v>
      </c>
      <c r="H11" s="513">
        <v>4.3099999999999999E-2</v>
      </c>
      <c r="I11" s="514"/>
      <c r="J11" s="514"/>
      <c r="K11" s="514"/>
      <c r="L11" s="514"/>
      <c r="M11" s="514"/>
      <c r="N11" s="514"/>
      <c r="Q11" s="7" t="s">
        <v>1258</v>
      </c>
      <c r="R11" s="645">
        <v>3.2399999999999998E-2</v>
      </c>
    </row>
    <row r="12" spans="2:18" ht="14.4">
      <c r="B12" s="502" t="s">
        <v>804</v>
      </c>
      <c r="C12" s="503" t="s">
        <v>805</v>
      </c>
      <c r="D12" s="513"/>
      <c r="E12" s="513"/>
      <c r="F12" s="513"/>
      <c r="G12" s="513"/>
      <c r="H12" s="513"/>
      <c r="I12" s="514"/>
      <c r="J12" s="514"/>
      <c r="K12" s="514"/>
      <c r="L12" s="514"/>
      <c r="M12" s="514"/>
      <c r="N12" s="514"/>
      <c r="Q12" s="7" t="s">
        <v>1259</v>
      </c>
      <c r="R12" s="645">
        <v>2.1700000000000001E-2</v>
      </c>
    </row>
    <row r="13" spans="2:18" ht="14.4">
      <c r="B13" s="503" t="s">
        <v>960</v>
      </c>
      <c r="C13" s="503" t="s">
        <v>770</v>
      </c>
      <c r="D13" s="515">
        <v>23098</v>
      </c>
      <c r="E13" s="515">
        <v>22826</v>
      </c>
      <c r="F13" s="515">
        <v>23633</v>
      </c>
      <c r="G13" s="515">
        <v>24269</v>
      </c>
      <c r="H13" s="515">
        <v>26526</v>
      </c>
      <c r="I13" s="505"/>
      <c r="J13" s="505"/>
      <c r="K13" s="505"/>
      <c r="L13" s="505"/>
      <c r="M13" s="505"/>
      <c r="N13" s="505"/>
      <c r="Q13" s="7" t="s">
        <v>1260</v>
      </c>
      <c r="R13" s="645">
        <v>0.58389999999999997</v>
      </c>
    </row>
    <row r="14" spans="2:18" ht="15" thickBot="1">
      <c r="B14" s="516"/>
      <c r="C14" s="517"/>
      <c r="D14" s="516"/>
      <c r="E14" s="516"/>
      <c r="F14" s="516"/>
      <c r="G14" s="516"/>
      <c r="H14" s="516"/>
      <c r="I14" s="516"/>
      <c r="J14" s="516"/>
      <c r="K14" s="516"/>
      <c r="L14" s="516"/>
      <c r="M14" s="516"/>
      <c r="N14" s="516"/>
      <c r="Q14" s="646" t="s">
        <v>1261</v>
      </c>
      <c r="R14" s="647">
        <f>SUM(R5:R13)</f>
        <v>0.96949999999999992</v>
      </c>
    </row>
    <row r="15" spans="2:18" ht="15" thickBot="1">
      <c r="B15" s="518" t="s">
        <v>806</v>
      </c>
      <c r="C15" s="519"/>
      <c r="D15" s="519"/>
      <c r="E15" s="519"/>
      <c r="F15" s="519"/>
      <c r="G15" s="519"/>
      <c r="H15" s="519"/>
      <c r="I15" s="519"/>
      <c r="J15" s="519"/>
      <c r="K15" s="519"/>
      <c r="L15" s="519"/>
      <c r="M15" s="519"/>
      <c r="N15" s="520"/>
    </row>
    <row r="16" spans="2:18" s="15" customFormat="1" ht="14.4">
      <c r="B16" s="521" t="s">
        <v>807</v>
      </c>
      <c r="C16" s="522"/>
      <c r="D16" s="523">
        <f>'IP_IS Raw'!E26</f>
        <v>29990231362</v>
      </c>
      <c r="E16" s="523">
        <f>'IP_IS Raw'!F26</f>
        <v>24890860314</v>
      </c>
      <c r="F16" s="523">
        <f>'IP_IS Raw'!G26</f>
        <v>26518959327</v>
      </c>
      <c r="G16" s="523">
        <f>'IP_IS Raw'!H26</f>
        <v>122574290595</v>
      </c>
      <c r="H16" s="523">
        <f>'IP_IS Raw'!I26</f>
        <v>77401200443</v>
      </c>
      <c r="I16" s="524"/>
      <c r="J16" s="524"/>
      <c r="K16" s="524"/>
      <c r="L16" s="524"/>
      <c r="M16" s="524"/>
      <c r="N16" s="524"/>
      <c r="Q16" s="642" t="s">
        <v>1262</v>
      </c>
    </row>
    <row r="17" spans="2:20" s="15" customFormat="1" ht="14.4">
      <c r="B17" s="525" t="s">
        <v>808</v>
      </c>
      <c r="C17" s="526"/>
      <c r="D17" s="527">
        <f>'IP_IS Raw'!E28</f>
        <v>19793101930</v>
      </c>
      <c r="E17" s="527">
        <f>'IP_IS Raw'!F28</f>
        <v>10903987113</v>
      </c>
      <c r="F17" s="527">
        <f>'IP_IS Raw'!G28</f>
        <v>26858708163</v>
      </c>
      <c r="G17" s="527">
        <f>'IP_IS Raw'!H28</f>
        <v>125708063567</v>
      </c>
      <c r="H17" s="527">
        <f>'IP_IS Raw'!I28</f>
        <v>76561931411</v>
      </c>
      <c r="I17" s="528">
        <f>OD_IS!I21</f>
        <v>80780514835.351288</v>
      </c>
      <c r="J17" s="528">
        <f>OD_IS!J21</f>
        <v>109315947398.13472</v>
      </c>
      <c r="K17" s="528">
        <f>OD_IS!K21</f>
        <v>161307028232.35852</v>
      </c>
      <c r="L17" s="528">
        <f>OD_IS!L21</f>
        <v>227482315739.7746</v>
      </c>
      <c r="M17" s="528">
        <f>OD_IS!M21</f>
        <v>285354003744.9953</v>
      </c>
      <c r="N17" s="528">
        <f>OD_IS!N21</f>
        <v>301122711394.12439</v>
      </c>
      <c r="Q17" s="15" t="s">
        <v>1263</v>
      </c>
      <c r="R17" s="648">
        <v>0.1227</v>
      </c>
    </row>
    <row r="18" spans="2:20" s="15" customFormat="1" ht="14.4">
      <c r="B18" s="525" t="s">
        <v>809</v>
      </c>
      <c r="C18" s="526"/>
      <c r="D18" s="527">
        <f t="shared" ref="D18:F18" si="4">D19+D23</f>
        <v>0</v>
      </c>
      <c r="E18" s="527">
        <f t="shared" si="4"/>
        <v>0</v>
      </c>
      <c r="F18" s="527">
        <f t="shared" si="4"/>
        <v>0</v>
      </c>
      <c r="G18" s="527">
        <f>G19+G23</f>
        <v>0</v>
      </c>
      <c r="H18" s="527">
        <f>H19+H23</f>
        <v>0</v>
      </c>
      <c r="I18" s="527">
        <f t="shared" ref="I18:N18" si="5">I19+I23</f>
        <v>0</v>
      </c>
      <c r="J18" s="527">
        <f t="shared" si="5"/>
        <v>0</v>
      </c>
      <c r="K18" s="527">
        <f t="shared" si="5"/>
        <v>0</v>
      </c>
      <c r="L18" s="527">
        <f t="shared" si="5"/>
        <v>0</v>
      </c>
      <c r="M18" s="527">
        <f t="shared" si="5"/>
        <v>0</v>
      </c>
      <c r="N18" s="527">
        <f t="shared" si="5"/>
        <v>0</v>
      </c>
      <c r="Q18" s="15" t="s">
        <v>1264</v>
      </c>
      <c r="R18" s="648">
        <v>0.87729999999999997</v>
      </c>
    </row>
    <row r="19" spans="2:20" s="20" customFormat="1" ht="14.4">
      <c r="B19" s="529" t="s">
        <v>810</v>
      </c>
      <c r="C19" s="530"/>
      <c r="D19" s="531">
        <f t="shared" ref="D19:G19" si="6">SUM(D20:D22)</f>
        <v>0</v>
      </c>
      <c r="E19" s="531">
        <f t="shared" si="6"/>
        <v>0</v>
      </c>
      <c r="F19" s="531">
        <f t="shared" si="6"/>
        <v>0</v>
      </c>
      <c r="G19" s="531">
        <f t="shared" si="6"/>
        <v>0</v>
      </c>
      <c r="H19" s="531">
        <f>SUM(H20:H22)</f>
        <v>0</v>
      </c>
      <c r="I19" s="532">
        <v>0</v>
      </c>
      <c r="J19" s="532">
        <v>0</v>
      </c>
      <c r="K19" s="532">
        <v>0</v>
      </c>
      <c r="L19" s="532">
        <v>0</v>
      </c>
      <c r="M19" s="532">
        <v>0</v>
      </c>
      <c r="N19" s="532">
        <v>0</v>
      </c>
      <c r="Q19" s="649" t="s">
        <v>1261</v>
      </c>
      <c r="R19" s="650">
        <f>SUM(R17:R18)</f>
        <v>1</v>
      </c>
    </row>
    <row r="20" spans="2:20" s="21" customFormat="1" ht="14.4">
      <c r="B20" s="533" t="s">
        <v>217</v>
      </c>
      <c r="C20" s="534"/>
      <c r="D20" s="535">
        <f>'IP_BS Raw'!E114</f>
        <v>0</v>
      </c>
      <c r="E20" s="535">
        <f>'IP_BS Raw'!F114</f>
        <v>0</v>
      </c>
      <c r="F20" s="535">
        <f>'IP_BS Raw'!G114</f>
        <v>0</v>
      </c>
      <c r="G20" s="535">
        <f>'IP_BS Raw'!H114</f>
        <v>0</v>
      </c>
      <c r="H20" s="535">
        <f>'IP_BS Raw'!I114</f>
        <v>0</v>
      </c>
      <c r="I20" s="535"/>
      <c r="J20" s="535"/>
      <c r="K20" s="535"/>
      <c r="L20" s="535"/>
      <c r="M20" s="535"/>
      <c r="N20" s="535"/>
    </row>
    <row r="21" spans="2:20" s="21" customFormat="1" ht="14.4">
      <c r="B21" s="533" t="s">
        <v>221</v>
      </c>
      <c r="C21" s="534"/>
      <c r="D21" s="535">
        <f>'IP_BS Raw'!E116</f>
        <v>0</v>
      </c>
      <c r="E21" s="535">
        <f>'IP_BS Raw'!F116</f>
        <v>0</v>
      </c>
      <c r="F21" s="535">
        <f>'IP_BS Raw'!G116</f>
        <v>0</v>
      </c>
      <c r="G21" s="535">
        <f>'IP_BS Raw'!H116</f>
        <v>0</v>
      </c>
      <c r="H21" s="535">
        <f>'IP_BS Raw'!I116</f>
        <v>0</v>
      </c>
      <c r="I21" s="535"/>
      <c r="J21" s="535"/>
      <c r="K21" s="535"/>
      <c r="L21" s="535"/>
      <c r="M21" s="535"/>
      <c r="N21" s="535"/>
    </row>
    <row r="22" spans="2:20" s="21" customFormat="1" ht="14.4">
      <c r="B22" s="533" t="s">
        <v>223</v>
      </c>
      <c r="C22" s="534"/>
      <c r="D22" s="535">
        <f>'IP_BS Raw'!E117+'IP_BS Raw'!E115</f>
        <v>0</v>
      </c>
      <c r="E22" s="535">
        <f>'IP_BS Raw'!F117+'IP_BS Raw'!F115</f>
        <v>0</v>
      </c>
      <c r="F22" s="535">
        <f>'IP_BS Raw'!G117+'IP_BS Raw'!G115</f>
        <v>0</v>
      </c>
      <c r="G22" s="535">
        <f>'IP_BS Raw'!H117+'IP_BS Raw'!H115</f>
        <v>0</v>
      </c>
      <c r="H22" s="535">
        <f>'IP_BS Raw'!I117+'IP_BS Raw'!I115</f>
        <v>0</v>
      </c>
      <c r="I22" s="535"/>
      <c r="J22" s="535"/>
      <c r="K22" s="535"/>
      <c r="L22" s="535"/>
      <c r="M22" s="535"/>
      <c r="N22" s="535"/>
      <c r="Q22" s="651" t="s">
        <v>1265</v>
      </c>
    </row>
    <row r="23" spans="2:20" s="20" customFormat="1" ht="14.4">
      <c r="B23" s="529" t="s">
        <v>811</v>
      </c>
      <c r="C23" s="530"/>
      <c r="D23" s="532">
        <f t="shared" ref="D23:G23" si="7">SUM(D24:D25)</f>
        <v>0</v>
      </c>
      <c r="E23" s="532">
        <f t="shared" si="7"/>
        <v>0</v>
      </c>
      <c r="F23" s="532">
        <f t="shared" si="7"/>
        <v>0</v>
      </c>
      <c r="G23" s="532">
        <f t="shared" si="7"/>
        <v>0</v>
      </c>
      <c r="H23" s="532">
        <f>SUM(H24:H25)</f>
        <v>0</v>
      </c>
      <c r="I23" s="532">
        <v>0</v>
      </c>
      <c r="J23" s="532">
        <v>0</v>
      </c>
      <c r="K23" s="532">
        <v>0</v>
      </c>
      <c r="L23" s="532">
        <v>0</v>
      </c>
      <c r="M23" s="532">
        <v>0</v>
      </c>
      <c r="N23" s="532">
        <v>0</v>
      </c>
      <c r="Q23" s="652" t="s">
        <v>1266</v>
      </c>
      <c r="R23" s="653" t="s">
        <v>1267</v>
      </c>
      <c r="S23" s="653" t="s">
        <v>1268</v>
      </c>
      <c r="T23" s="653" t="s">
        <v>1269</v>
      </c>
    </row>
    <row r="24" spans="2:20" ht="14.4">
      <c r="B24" s="502" t="s">
        <v>161</v>
      </c>
      <c r="C24" s="503"/>
      <c r="D24" s="536">
        <f>'IP_BS Raw'!E123</f>
        <v>0</v>
      </c>
      <c r="E24" s="536">
        <f>'IP_BS Raw'!F123</f>
        <v>0</v>
      </c>
      <c r="F24" s="536">
        <f>'IP_BS Raw'!G123</f>
        <v>0</v>
      </c>
      <c r="G24" s="536">
        <f>'IP_BS Raw'!H123</f>
        <v>0</v>
      </c>
      <c r="H24" s="536">
        <f>'IP_BS Raw'!I123</f>
        <v>0</v>
      </c>
      <c r="I24" s="536"/>
      <c r="J24" s="536"/>
      <c r="K24" s="536"/>
      <c r="L24" s="536"/>
      <c r="M24" s="536"/>
      <c r="N24" s="536"/>
      <c r="Q24" s="7" t="s">
        <v>1270</v>
      </c>
      <c r="R24" s="654">
        <v>0</v>
      </c>
      <c r="S24" s="654">
        <v>0</v>
      </c>
      <c r="T24" s="645">
        <v>1</v>
      </c>
    </row>
    <row r="25" spans="2:20" s="21" customFormat="1" ht="14.4">
      <c r="B25" s="533" t="s">
        <v>812</v>
      </c>
      <c r="C25" s="534"/>
      <c r="D25" s="535">
        <f>'IP_BS Raw'!E125+'IP_BS Raw'!E124</f>
        <v>0</v>
      </c>
      <c r="E25" s="535">
        <f>'IP_BS Raw'!F125+'IP_BS Raw'!F124</f>
        <v>0</v>
      </c>
      <c r="F25" s="535">
        <f>'IP_BS Raw'!G125+'IP_BS Raw'!G124</f>
        <v>0</v>
      </c>
      <c r="G25" s="535">
        <f>'IP_BS Raw'!H125+'IP_BS Raw'!H124</f>
        <v>0</v>
      </c>
      <c r="H25" s="535">
        <f>'IP_BS Raw'!I125+'IP_BS Raw'!I124</f>
        <v>0</v>
      </c>
      <c r="I25" s="535"/>
      <c r="J25" s="535"/>
      <c r="K25" s="535"/>
      <c r="L25" s="535"/>
      <c r="M25" s="535"/>
      <c r="N25" s="535"/>
      <c r="Q25" s="21" t="s">
        <v>1271</v>
      </c>
      <c r="R25" s="655">
        <v>30.3</v>
      </c>
      <c r="S25" s="655">
        <v>30</v>
      </c>
      <c r="T25" s="656">
        <v>0.99</v>
      </c>
    </row>
    <row r="26" spans="2:20" ht="14.4">
      <c r="B26" s="502"/>
      <c r="C26" s="503"/>
      <c r="D26" s="502"/>
      <c r="E26" s="502"/>
      <c r="F26" s="502"/>
      <c r="G26" s="502"/>
      <c r="H26" s="502"/>
      <c r="I26" s="502"/>
      <c r="J26" s="502"/>
      <c r="K26" s="502"/>
      <c r="L26" s="502"/>
      <c r="M26" s="502"/>
      <c r="N26" s="502"/>
      <c r="Q26" s="7" t="s">
        <v>1272</v>
      </c>
      <c r="R26" s="654">
        <v>15.15</v>
      </c>
      <c r="S26" s="654">
        <v>15</v>
      </c>
      <c r="T26" s="645">
        <v>0.99</v>
      </c>
    </row>
    <row r="27" spans="2:20" s="15" customFormat="1" ht="14.4">
      <c r="B27" s="525" t="s">
        <v>813</v>
      </c>
      <c r="C27" s="526"/>
      <c r="D27" s="532"/>
      <c r="E27" s="532">
        <f t="shared" ref="E27:F27" si="8">E29+E31</f>
        <v>31279968.000000004</v>
      </c>
      <c r="F27" s="532">
        <f t="shared" si="8"/>
        <v>0</v>
      </c>
      <c r="G27" s="532">
        <f>G29+G31</f>
        <v>0</v>
      </c>
      <c r="H27" s="532">
        <f>H29+H31</f>
        <v>68500727</v>
      </c>
      <c r="I27" s="528">
        <f t="shared" ref="I27:N27" si="9">I29+I31</f>
        <v>68500727</v>
      </c>
      <c r="J27" s="528">
        <f>J29+J31</f>
        <v>68500727</v>
      </c>
      <c r="K27" s="528">
        <f t="shared" si="9"/>
        <v>68500727</v>
      </c>
      <c r="L27" s="528">
        <f t="shared" si="9"/>
        <v>68500727</v>
      </c>
      <c r="M27" s="528">
        <f t="shared" si="9"/>
        <v>68500727</v>
      </c>
      <c r="N27" s="528">
        <f t="shared" si="9"/>
        <v>68500727</v>
      </c>
      <c r="Q27" s="15" t="s">
        <v>1273</v>
      </c>
      <c r="R27" s="657">
        <v>10.1</v>
      </c>
      <c r="S27" s="657">
        <v>10</v>
      </c>
      <c r="T27" s="648">
        <v>0.99</v>
      </c>
    </row>
    <row r="28" spans="2:20" s="17" customFormat="1" ht="14.4">
      <c r="B28" s="537" t="s">
        <v>814</v>
      </c>
      <c r="C28" s="538"/>
      <c r="D28" s="539"/>
      <c r="E28" s="539">
        <f t="shared" ref="E28:F28" si="10">E27/E17</f>
        <v>2.8686725026212897E-3</v>
      </c>
      <c r="F28" s="539">
        <f t="shared" si="10"/>
        <v>0</v>
      </c>
      <c r="G28" s="539">
        <f>G27/G17</f>
        <v>0</v>
      </c>
      <c r="H28" s="539">
        <f>H27/H17</f>
        <v>8.9471001759705072E-4</v>
      </c>
      <c r="I28" s="540">
        <f t="shared" ref="I28:N28" si="11">I27/I17</f>
        <v>8.4798576908824816E-4</v>
      </c>
      <c r="J28" s="540">
        <f t="shared" si="11"/>
        <v>6.2663068500441721E-4</v>
      </c>
      <c r="K28" s="540">
        <f t="shared" si="11"/>
        <v>4.2466052316906183E-4</v>
      </c>
      <c r="L28" s="540">
        <f t="shared" si="11"/>
        <v>3.0112550409571397E-4</v>
      </c>
      <c r="M28" s="540">
        <f t="shared" si="11"/>
        <v>2.4005525102502231E-4</v>
      </c>
      <c r="N28" s="540">
        <f t="shared" si="11"/>
        <v>2.2748442547843175E-4</v>
      </c>
      <c r="Q28" s="17" t="s">
        <v>1274</v>
      </c>
      <c r="R28" s="658">
        <v>30</v>
      </c>
      <c r="S28" s="658">
        <v>29.7</v>
      </c>
      <c r="T28" s="659">
        <v>0.9</v>
      </c>
    </row>
    <row r="29" spans="2:20" ht="14.4">
      <c r="B29" s="502" t="s">
        <v>815</v>
      </c>
      <c r="C29" s="503"/>
      <c r="D29" s="536"/>
      <c r="E29" s="536">
        <f t="shared" ref="E29:N29" si="12">E38*E30*10</f>
        <v>31279968.000000004</v>
      </c>
      <c r="F29" s="536">
        <f t="shared" si="12"/>
        <v>0</v>
      </c>
      <c r="G29" s="536">
        <f t="shared" si="12"/>
        <v>0</v>
      </c>
      <c r="H29" s="536">
        <f>H38*H30*10</f>
        <v>68500727</v>
      </c>
      <c r="I29" s="541">
        <f t="shared" si="12"/>
        <v>68500727</v>
      </c>
      <c r="J29" s="541">
        <f t="shared" si="12"/>
        <v>68500727</v>
      </c>
      <c r="K29" s="541">
        <f t="shared" si="12"/>
        <v>68500727</v>
      </c>
      <c r="L29" s="541">
        <f t="shared" si="12"/>
        <v>68500727</v>
      </c>
      <c r="M29" s="541">
        <f t="shared" si="12"/>
        <v>68500727</v>
      </c>
      <c r="N29" s="541">
        <f t="shared" si="12"/>
        <v>68500727</v>
      </c>
      <c r="Q29" s="7" t="s">
        <v>1275</v>
      </c>
      <c r="R29" s="654">
        <v>0</v>
      </c>
      <c r="S29" s="654">
        <v>0</v>
      </c>
      <c r="T29" s="645">
        <v>0.8</v>
      </c>
    </row>
    <row r="30" spans="2:20" s="17" customFormat="1" ht="14.4">
      <c r="B30" s="542" t="s">
        <v>816</v>
      </c>
      <c r="C30" s="543"/>
      <c r="D30" s="544">
        <v>0.05</v>
      </c>
      <c r="E30" s="544">
        <v>0.1</v>
      </c>
      <c r="F30" s="544">
        <v>0</v>
      </c>
      <c r="G30" s="544">
        <v>0</v>
      </c>
      <c r="H30" s="544">
        <v>0.05</v>
      </c>
      <c r="I30" s="545">
        <v>0.05</v>
      </c>
      <c r="J30" s="545">
        <v>0.05</v>
      </c>
      <c r="K30" s="545">
        <v>0.05</v>
      </c>
      <c r="L30" s="545">
        <v>0.05</v>
      </c>
      <c r="M30" s="545">
        <v>0.05</v>
      </c>
      <c r="N30" s="545">
        <v>0.05</v>
      </c>
      <c r="Q30" s="17" t="s">
        <v>1276</v>
      </c>
      <c r="R30" s="658">
        <v>26.3</v>
      </c>
      <c r="S30" s="658">
        <v>19.989999999999998</v>
      </c>
      <c r="T30" s="659">
        <v>0.76</v>
      </c>
    </row>
    <row r="31" spans="2:20" s="17" customFormat="1" ht="14.4">
      <c r="B31" s="502" t="s">
        <v>817</v>
      </c>
      <c r="C31" s="503"/>
      <c r="D31" s="536"/>
      <c r="E31" s="536">
        <f t="shared" ref="E31:N31" si="13">E38*E32*10</f>
        <v>0</v>
      </c>
      <c r="F31" s="536">
        <f t="shared" si="13"/>
        <v>0</v>
      </c>
      <c r="G31" s="536">
        <f t="shared" si="13"/>
        <v>0</v>
      </c>
      <c r="H31" s="536">
        <f>H38*H32*10</f>
        <v>0</v>
      </c>
      <c r="I31" s="546">
        <f t="shared" si="13"/>
        <v>0</v>
      </c>
      <c r="J31" s="546">
        <f t="shared" si="13"/>
        <v>0</v>
      </c>
      <c r="K31" s="546">
        <f t="shared" si="13"/>
        <v>0</v>
      </c>
      <c r="L31" s="546">
        <f t="shared" si="13"/>
        <v>0</v>
      </c>
      <c r="M31" s="546">
        <f t="shared" si="13"/>
        <v>0</v>
      </c>
      <c r="N31" s="546">
        <f t="shared" si="13"/>
        <v>0</v>
      </c>
      <c r="Q31" s="17" t="s">
        <v>1277</v>
      </c>
      <c r="R31" s="658">
        <v>0</v>
      </c>
      <c r="S31" s="658">
        <v>0</v>
      </c>
      <c r="T31" s="659">
        <v>0.67</v>
      </c>
    </row>
    <row r="32" spans="2:20" s="17" customFormat="1" ht="14.4">
      <c r="B32" s="542" t="s">
        <v>816</v>
      </c>
      <c r="C32" s="543"/>
      <c r="D32" s="544">
        <v>0.05</v>
      </c>
      <c r="E32" s="544">
        <v>0</v>
      </c>
      <c r="F32" s="544">
        <v>0</v>
      </c>
      <c r="G32" s="544">
        <v>0</v>
      </c>
      <c r="H32" s="544">
        <f>G32</f>
        <v>0</v>
      </c>
      <c r="I32" s="545">
        <f>H32</f>
        <v>0</v>
      </c>
      <c r="J32" s="545">
        <f>I32</f>
        <v>0</v>
      </c>
      <c r="K32" s="545">
        <f>J32</f>
        <v>0</v>
      </c>
      <c r="L32" s="545">
        <f t="shared" ref="L32:N32" si="14">K32</f>
        <v>0</v>
      </c>
      <c r="M32" s="545">
        <f t="shared" si="14"/>
        <v>0</v>
      </c>
      <c r="N32" s="545">
        <f t="shared" si="14"/>
        <v>0</v>
      </c>
      <c r="Q32" s="17" t="s">
        <v>1278</v>
      </c>
      <c r="R32" s="658">
        <v>10</v>
      </c>
      <c r="S32" s="658">
        <v>5.0999999999999996</v>
      </c>
      <c r="T32" s="659">
        <v>0.51</v>
      </c>
    </row>
    <row r="33" spans="2:21" s="17" customFormat="1" ht="14.4">
      <c r="B33" s="537"/>
      <c r="C33" s="538"/>
      <c r="D33" s="547"/>
      <c r="E33" s="547"/>
      <c r="F33" s="547"/>
      <c r="G33" s="547"/>
      <c r="H33" s="547"/>
      <c r="I33" s="537"/>
      <c r="J33" s="537"/>
      <c r="K33" s="537"/>
      <c r="L33" s="537"/>
      <c r="M33" s="537"/>
      <c r="N33" s="537"/>
      <c r="Q33" s="17" t="s">
        <v>1279</v>
      </c>
      <c r="R33" s="658">
        <v>3.08</v>
      </c>
      <c r="S33" s="658">
        <v>1.08</v>
      </c>
      <c r="T33" s="659">
        <v>0.35</v>
      </c>
      <c r="U33" s="17" t="s">
        <v>1280</v>
      </c>
    </row>
    <row r="34" spans="2:21" s="15" customFormat="1" ht="14.4">
      <c r="B34" s="525" t="s">
        <v>818</v>
      </c>
      <c r="C34" s="526"/>
      <c r="D34" s="548"/>
      <c r="E34" s="548"/>
      <c r="F34" s="548"/>
      <c r="G34" s="548"/>
      <c r="H34" s="548"/>
      <c r="I34" s="525"/>
      <c r="J34" s="525"/>
      <c r="K34" s="525"/>
      <c r="L34" s="525"/>
      <c r="M34" s="525"/>
      <c r="N34" s="525"/>
    </row>
    <row r="35" spans="2:21" ht="14.4">
      <c r="B35" s="502" t="s">
        <v>819</v>
      </c>
      <c r="C35" s="503"/>
      <c r="D35" s="539">
        <v>0</v>
      </c>
      <c r="E35" s="539">
        <v>0.1</v>
      </c>
      <c r="F35" s="539">
        <v>0.1</v>
      </c>
      <c r="G35" s="539">
        <v>7.4999999999999997E-2</v>
      </c>
      <c r="H35" s="539">
        <v>0.03</v>
      </c>
      <c r="I35" s="549">
        <v>0.05</v>
      </c>
      <c r="J35" s="549">
        <v>0.05</v>
      </c>
      <c r="K35" s="549">
        <v>0.05</v>
      </c>
      <c r="L35" s="549">
        <v>0.05</v>
      </c>
      <c r="M35" s="549">
        <v>0.05</v>
      </c>
      <c r="N35" s="549">
        <v>0.05</v>
      </c>
    </row>
    <row r="36" spans="2:21" s="17" customFormat="1" ht="15" thickBot="1">
      <c r="B36" s="516" t="s">
        <v>820</v>
      </c>
      <c r="C36" s="517"/>
      <c r="D36" s="550">
        <v>0</v>
      </c>
      <c r="E36" s="550">
        <v>0</v>
      </c>
      <c r="F36" s="550">
        <v>0</v>
      </c>
      <c r="G36" s="550">
        <v>0</v>
      </c>
      <c r="H36" s="550">
        <v>0</v>
      </c>
      <c r="I36" s="550">
        <v>0</v>
      </c>
      <c r="J36" s="550">
        <v>0</v>
      </c>
      <c r="K36" s="550">
        <v>0</v>
      </c>
      <c r="L36" s="550">
        <v>0</v>
      </c>
      <c r="M36" s="550">
        <v>0</v>
      </c>
      <c r="N36" s="550">
        <v>0</v>
      </c>
    </row>
    <row r="37" spans="2:21" ht="15" thickBot="1">
      <c r="B37" s="518" t="s">
        <v>821</v>
      </c>
      <c r="C37" s="519"/>
      <c r="D37" s="519"/>
      <c r="E37" s="519"/>
      <c r="F37" s="519"/>
      <c r="G37" s="519"/>
      <c r="H37" s="519"/>
      <c r="I37" s="519"/>
      <c r="J37" s="519"/>
      <c r="K37" s="519"/>
      <c r="L37" s="519"/>
      <c r="M37" s="519"/>
      <c r="N37" s="520"/>
    </row>
    <row r="38" spans="2:21" s="20" customFormat="1" ht="14.4">
      <c r="B38" s="551" t="s">
        <v>822</v>
      </c>
      <c r="C38" s="552"/>
      <c r="D38" s="553"/>
      <c r="E38" s="553">
        <f>'IP_BS Raw'!E105/10000</f>
        <v>31279968</v>
      </c>
      <c r="F38" s="553">
        <f>'IP_BS Raw'!F105/10000</f>
        <v>31279968</v>
      </c>
      <c r="G38" s="553">
        <f>'IP_BS Raw'!G105/10000</f>
        <v>131353264</v>
      </c>
      <c r="H38" s="553">
        <f>'IP_BS Raw'!H105/10000</f>
        <v>137001454</v>
      </c>
      <c r="I38" s="554">
        <f t="shared" ref="I38:N38" si="15">H38</f>
        <v>137001454</v>
      </c>
      <c r="J38" s="554">
        <f t="shared" si="15"/>
        <v>137001454</v>
      </c>
      <c r="K38" s="554">
        <f t="shared" si="15"/>
        <v>137001454</v>
      </c>
      <c r="L38" s="554">
        <f t="shared" si="15"/>
        <v>137001454</v>
      </c>
      <c r="M38" s="554">
        <f t="shared" si="15"/>
        <v>137001454</v>
      </c>
      <c r="N38" s="554">
        <f t="shared" si="15"/>
        <v>137001454</v>
      </c>
    </row>
    <row r="39" spans="2:21" s="17" customFormat="1" ht="14.4">
      <c r="B39" s="537" t="s">
        <v>823</v>
      </c>
      <c r="C39" s="538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</row>
    <row r="40" spans="2:21" s="17" customFormat="1" ht="14.4">
      <c r="B40" s="537" t="s">
        <v>824</v>
      </c>
      <c r="C40" s="538"/>
      <c r="D40" s="555"/>
      <c r="E40" s="555"/>
      <c r="F40" s="555"/>
      <c r="G40" s="555"/>
      <c r="H40" s="555"/>
      <c r="I40" s="555"/>
      <c r="J40" s="555"/>
      <c r="K40" s="555"/>
      <c r="L40" s="555"/>
      <c r="M40" s="555"/>
      <c r="N40" s="555"/>
    </row>
    <row r="41" spans="2:21" s="17" customFormat="1" ht="14.4">
      <c r="B41" s="537" t="s">
        <v>825</v>
      </c>
      <c r="C41" s="538"/>
      <c r="D41" s="555"/>
      <c r="E41" s="555"/>
      <c r="F41" s="555"/>
      <c r="G41" s="555"/>
      <c r="H41" s="555"/>
      <c r="I41" s="555"/>
      <c r="J41" s="555"/>
      <c r="K41" s="555"/>
      <c r="L41" s="555"/>
      <c r="M41" s="555"/>
      <c r="N41" s="555"/>
    </row>
    <row r="42" spans="2:21" s="17" customFormat="1" ht="14.4">
      <c r="B42" s="537" t="s">
        <v>826</v>
      </c>
      <c r="C42" s="538"/>
      <c r="D42" s="555"/>
      <c r="E42" s="555"/>
      <c r="F42" s="555"/>
      <c r="G42" s="555"/>
      <c r="H42" s="555"/>
      <c r="I42" s="555"/>
      <c r="J42" s="555"/>
      <c r="K42" s="555"/>
      <c r="L42" s="555"/>
      <c r="M42" s="555"/>
      <c r="N42" s="555"/>
    </row>
    <row r="43" spans="2:21" s="17" customFormat="1" ht="14.4">
      <c r="B43" s="537" t="s">
        <v>827</v>
      </c>
      <c r="C43" s="538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</row>
    <row r="44" spans="2:21" s="17" customFormat="1" ht="14.4">
      <c r="B44" s="537" t="s">
        <v>828</v>
      </c>
      <c r="C44" s="538"/>
      <c r="D44" s="556"/>
      <c r="E44" s="556">
        <f>55.122+11.023</f>
        <v>66.144999999999996</v>
      </c>
      <c r="F44" s="556">
        <v>12.125999999999999</v>
      </c>
      <c r="G44" s="556">
        <f>133.395+20.005</f>
        <v>153.4</v>
      </c>
      <c r="H44" s="556">
        <f>12.704+74.869</f>
        <v>87.573000000000008</v>
      </c>
      <c r="I44" s="556"/>
      <c r="J44" s="556"/>
      <c r="K44" s="556"/>
      <c r="L44" s="556"/>
      <c r="M44" s="556"/>
      <c r="N44" s="556"/>
    </row>
    <row r="45" spans="2:21" s="17" customFormat="1" ht="14.4">
      <c r="B45" s="537" t="s">
        <v>829</v>
      </c>
      <c r="C45" s="538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</row>
    <row r="46" spans="2:21" s="20" customFormat="1" ht="14.4">
      <c r="B46" s="529" t="s">
        <v>830</v>
      </c>
      <c r="C46" s="530"/>
      <c r="D46" s="557">
        <f>'IP_BS Raw'!E105/10000</f>
        <v>31279968</v>
      </c>
      <c r="E46" s="557">
        <f>'IP_BS Raw'!F105/10000</f>
        <v>31279968</v>
      </c>
      <c r="F46" s="557">
        <f>'IP_BS Raw'!G105/10000</f>
        <v>131353264</v>
      </c>
      <c r="G46" s="557">
        <f>'IP_BS Raw'!H105/10000</f>
        <v>137001454</v>
      </c>
      <c r="H46" s="557">
        <f>'IP_BS Raw'!I105/10000</f>
        <v>191802035</v>
      </c>
      <c r="I46" s="558">
        <f t="shared" ref="I46:N47" si="16">H46</f>
        <v>191802035</v>
      </c>
      <c r="J46" s="558">
        <f t="shared" si="16"/>
        <v>191802035</v>
      </c>
      <c r="K46" s="558">
        <f t="shared" si="16"/>
        <v>191802035</v>
      </c>
      <c r="L46" s="558">
        <f t="shared" si="16"/>
        <v>191802035</v>
      </c>
      <c r="M46" s="558">
        <f t="shared" si="16"/>
        <v>191802035</v>
      </c>
      <c r="N46" s="558">
        <f t="shared" si="16"/>
        <v>191802035</v>
      </c>
    </row>
    <row r="47" spans="2:21" ht="14.4">
      <c r="B47" s="502" t="s">
        <v>831</v>
      </c>
      <c r="C47" s="503"/>
      <c r="D47" s="559">
        <f>'IP_BS Raw'!E111/10000</f>
        <v>0</v>
      </c>
      <c r="E47" s="559">
        <f>'IP_BS Raw'!F111/10000</f>
        <v>0</v>
      </c>
      <c r="F47" s="559">
        <f>'IP_BS Raw'!G111/10000</f>
        <v>0</v>
      </c>
      <c r="G47" s="559">
        <f>'IP_BS Raw'!H111/10000</f>
        <v>0</v>
      </c>
      <c r="H47" s="559">
        <f>'IP_BS Raw'!I111/10000</f>
        <v>0</v>
      </c>
      <c r="I47" s="560">
        <f t="shared" si="16"/>
        <v>0</v>
      </c>
      <c r="J47" s="560">
        <f t="shared" si="16"/>
        <v>0</v>
      </c>
      <c r="K47" s="560">
        <f t="shared" si="16"/>
        <v>0</v>
      </c>
      <c r="L47" s="560">
        <f t="shared" si="16"/>
        <v>0</v>
      </c>
      <c r="M47" s="560">
        <f t="shared" si="16"/>
        <v>0</v>
      </c>
      <c r="N47" s="560">
        <f t="shared" si="16"/>
        <v>0</v>
      </c>
    </row>
    <row r="48" spans="2:21" s="22" customFormat="1" ht="14.4">
      <c r="B48" s="561" t="s">
        <v>832</v>
      </c>
      <c r="C48" s="562"/>
      <c r="D48" s="563">
        <f t="shared" ref="D48:N48" si="17">D46-D47</f>
        <v>31279968</v>
      </c>
      <c r="E48" s="563">
        <f t="shared" si="17"/>
        <v>31279968</v>
      </c>
      <c r="F48" s="563">
        <f t="shared" si="17"/>
        <v>131353264</v>
      </c>
      <c r="G48" s="563">
        <f t="shared" si="17"/>
        <v>137001454</v>
      </c>
      <c r="H48" s="563">
        <f t="shared" si="17"/>
        <v>191802035</v>
      </c>
      <c r="I48" s="564">
        <f t="shared" si="17"/>
        <v>191802035</v>
      </c>
      <c r="J48" s="564">
        <f t="shared" si="17"/>
        <v>191802035</v>
      </c>
      <c r="K48" s="564">
        <f t="shared" si="17"/>
        <v>191802035</v>
      </c>
      <c r="L48" s="564">
        <f t="shared" si="17"/>
        <v>191802035</v>
      </c>
      <c r="M48" s="564">
        <f t="shared" si="17"/>
        <v>191802035</v>
      </c>
      <c r="N48" s="564">
        <f t="shared" si="17"/>
        <v>191802035</v>
      </c>
    </row>
    <row r="49" spans="2:14" s="22" customFormat="1" ht="28.8">
      <c r="B49" s="561" t="s">
        <v>833</v>
      </c>
      <c r="C49" s="506" t="s">
        <v>834</v>
      </c>
      <c r="D49" s="565"/>
      <c r="E49" s="565"/>
      <c r="F49" s="565"/>
      <c r="G49" s="566">
        <f>191802035/1000000</f>
        <v>191.80203499999999</v>
      </c>
      <c r="H49" s="566"/>
      <c r="I49" s="561"/>
      <c r="J49" s="561"/>
      <c r="K49" s="561"/>
      <c r="L49" s="561"/>
      <c r="M49" s="561"/>
      <c r="N49" s="561"/>
    </row>
    <row r="50" spans="2:14" s="22" customFormat="1" ht="28.8">
      <c r="B50" s="561" t="s">
        <v>835</v>
      </c>
      <c r="C50" s="506" t="s">
        <v>836</v>
      </c>
      <c r="D50" s="565"/>
      <c r="E50" s="565"/>
      <c r="F50" s="565"/>
      <c r="G50" s="566">
        <f>191802035/1000000</f>
        <v>191.80203499999999</v>
      </c>
      <c r="H50" s="566"/>
      <c r="I50" s="561"/>
      <c r="J50" s="561"/>
      <c r="K50" s="561"/>
      <c r="L50" s="561"/>
      <c r="M50" s="561"/>
      <c r="N50" s="561"/>
    </row>
    <row r="51" spans="2:14" ht="21" customHeight="1">
      <c r="B51" s="171"/>
      <c r="C51" s="299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</row>
    <row r="52" spans="2:14" ht="21" customHeight="1">
      <c r="B52" s="171"/>
      <c r="C52" s="299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</row>
    <row r="53" spans="2:14" ht="21" customHeight="1">
      <c r="B53" s="489" t="s">
        <v>1193</v>
      </c>
      <c r="C53" s="299"/>
      <c r="D53" s="171"/>
      <c r="E53" s="171"/>
      <c r="F53" s="171"/>
      <c r="G53" s="171"/>
      <c r="H53" s="567"/>
      <c r="I53" s="171"/>
      <c r="J53" s="171"/>
      <c r="K53" s="171"/>
      <c r="L53" s="171"/>
      <c r="M53" s="171"/>
      <c r="N53" s="171"/>
    </row>
    <row r="54" spans="2:14" ht="21" customHeight="1">
      <c r="B54" s="171"/>
      <c r="C54" s="299"/>
      <c r="D54" s="171"/>
      <c r="E54" s="171"/>
      <c r="F54" s="171"/>
      <c r="G54" s="171"/>
      <c r="H54" s="567"/>
      <c r="I54" s="171"/>
      <c r="J54" s="171"/>
      <c r="K54" s="171"/>
      <c r="L54" s="171"/>
      <c r="M54" s="171"/>
      <c r="N54" s="171"/>
    </row>
    <row r="55" spans="2:14" ht="21" customHeight="1">
      <c r="B55" s="171" t="s">
        <v>1194</v>
      </c>
      <c r="C55" s="299" t="s">
        <v>1195</v>
      </c>
      <c r="D55" s="171"/>
      <c r="E55" s="171"/>
      <c r="F55" s="171"/>
      <c r="G55" s="171"/>
      <c r="H55" s="567"/>
      <c r="I55" s="171"/>
      <c r="J55" s="171"/>
      <c r="K55" s="171"/>
      <c r="L55" s="171"/>
      <c r="M55" s="171"/>
      <c r="N55" s="171"/>
    </row>
    <row r="56" spans="2:14" ht="21" customHeight="1">
      <c r="B56" s="171" t="s">
        <v>1196</v>
      </c>
      <c r="C56" s="299" t="s">
        <v>1197</v>
      </c>
      <c r="D56" s="171"/>
      <c r="E56" s="171"/>
      <c r="F56" s="171"/>
      <c r="G56" s="171"/>
      <c r="H56" s="567"/>
      <c r="I56" s="171"/>
      <c r="J56" s="171"/>
      <c r="K56" s="171"/>
      <c r="L56" s="171"/>
      <c r="M56" s="171"/>
      <c r="N56" s="171"/>
    </row>
    <row r="57" spans="2:14" ht="21" customHeight="1">
      <c r="B57" s="171" t="s">
        <v>1198</v>
      </c>
      <c r="C57" s="568">
        <v>39060</v>
      </c>
      <c r="D57" s="171"/>
      <c r="E57" s="171"/>
      <c r="F57" s="171"/>
      <c r="G57" s="171"/>
      <c r="H57" s="567"/>
      <c r="I57" s="171"/>
      <c r="J57" s="171"/>
      <c r="K57" s="171"/>
      <c r="L57" s="171"/>
      <c r="M57" s="171"/>
      <c r="N57" s="171"/>
    </row>
    <row r="58" spans="2:14" ht="21" customHeight="1">
      <c r="B58" s="171" t="s">
        <v>1199</v>
      </c>
      <c r="C58" s="569">
        <v>42979</v>
      </c>
      <c r="D58" s="171"/>
      <c r="E58" s="171"/>
      <c r="F58" s="171"/>
      <c r="G58" s="171"/>
      <c r="H58" s="567"/>
      <c r="I58" s="171"/>
      <c r="J58" s="171"/>
      <c r="K58" s="171"/>
      <c r="L58" s="171"/>
      <c r="M58" s="171"/>
      <c r="N58" s="171"/>
    </row>
    <row r="59" spans="2:14" ht="21" customHeight="1">
      <c r="B59" s="171" t="s">
        <v>1200</v>
      </c>
      <c r="C59" s="299" t="s">
        <v>1201</v>
      </c>
      <c r="D59" s="171"/>
      <c r="E59" s="171"/>
      <c r="F59" s="171"/>
      <c r="G59" s="171"/>
      <c r="H59" s="567"/>
      <c r="I59" s="171"/>
      <c r="J59" s="171"/>
      <c r="K59" s="171"/>
      <c r="L59" s="171"/>
      <c r="M59" s="171"/>
      <c r="N59" s="171"/>
    </row>
    <row r="60" spans="2:14" ht="21" customHeight="1">
      <c r="B60" s="171" t="s">
        <v>1202</v>
      </c>
      <c r="C60" s="570">
        <v>1918</v>
      </c>
      <c r="D60" s="171"/>
      <c r="E60" s="171"/>
      <c r="F60" s="171"/>
      <c r="G60" s="171"/>
      <c r="H60" s="567"/>
      <c r="I60" s="171"/>
      <c r="J60" s="171"/>
      <c r="K60" s="171"/>
      <c r="L60" s="171"/>
      <c r="M60" s="171"/>
      <c r="N60" s="171"/>
    </row>
    <row r="61" spans="2:14" ht="21" customHeight="1">
      <c r="B61" s="171"/>
      <c r="C61" s="299"/>
      <c r="D61" s="171"/>
      <c r="E61" s="171"/>
      <c r="F61" s="171"/>
      <c r="G61" s="171"/>
      <c r="H61" s="567"/>
      <c r="I61" s="171"/>
      <c r="J61" s="171"/>
      <c r="K61" s="171"/>
      <c r="L61" s="171"/>
      <c r="M61" s="171"/>
      <c r="N61" s="171"/>
    </row>
    <row r="62" spans="2:14" ht="21" customHeight="1">
      <c r="B62" s="279" t="s">
        <v>1203</v>
      </c>
      <c r="C62" s="571" t="s">
        <v>1204</v>
      </c>
      <c r="D62" s="171"/>
      <c r="E62" s="171"/>
      <c r="F62" s="171"/>
      <c r="G62" s="171"/>
      <c r="H62" s="567"/>
      <c r="I62" s="171"/>
      <c r="J62" s="171"/>
      <c r="K62" s="171"/>
      <c r="L62" s="171"/>
      <c r="M62" s="171"/>
      <c r="N62" s="171"/>
    </row>
    <row r="63" spans="2:14" ht="21" customHeight="1">
      <c r="B63" s="279" t="s">
        <v>1205</v>
      </c>
      <c r="C63" s="299" t="s">
        <v>1206</v>
      </c>
      <c r="D63" s="171"/>
      <c r="E63" s="171"/>
      <c r="F63" s="171"/>
      <c r="G63" s="171"/>
      <c r="H63" s="567"/>
      <c r="I63" s="171"/>
      <c r="J63" s="171"/>
      <c r="K63" s="171"/>
      <c r="L63" s="171"/>
      <c r="M63" s="171"/>
      <c r="N63" s="171"/>
    </row>
    <row r="64" spans="2:14" ht="21" customHeight="1">
      <c r="B64" s="279" t="s">
        <v>1207</v>
      </c>
      <c r="C64" s="299" t="s">
        <v>1208</v>
      </c>
      <c r="D64" s="171"/>
      <c r="E64" s="171"/>
      <c r="F64" s="171"/>
      <c r="G64" s="171"/>
      <c r="H64" s="567"/>
      <c r="I64" s="171"/>
      <c r="J64" s="171"/>
      <c r="K64" s="171"/>
      <c r="L64" s="171"/>
      <c r="M64" s="171"/>
      <c r="N64" s="171"/>
    </row>
    <row r="65" spans="2:14" ht="21" customHeight="1">
      <c r="B65" s="279" t="s">
        <v>1209</v>
      </c>
      <c r="C65" s="299" t="s">
        <v>1210</v>
      </c>
      <c r="D65" s="171"/>
      <c r="E65" s="171"/>
      <c r="F65" s="171"/>
      <c r="G65" s="171"/>
      <c r="H65" s="567"/>
      <c r="I65" s="171"/>
      <c r="J65" s="171"/>
      <c r="K65" s="171"/>
      <c r="L65" s="171"/>
      <c r="M65" s="171"/>
      <c r="N65" s="171"/>
    </row>
    <row r="66" spans="2:14" ht="21" customHeight="1">
      <c r="B66" s="279" t="s">
        <v>1211</v>
      </c>
      <c r="C66" s="299" t="s">
        <v>1212</v>
      </c>
      <c r="D66" s="171"/>
      <c r="E66" s="171"/>
      <c r="F66" s="171"/>
      <c r="G66" s="171"/>
      <c r="H66" s="567"/>
      <c r="I66" s="171"/>
      <c r="J66" s="171"/>
      <c r="K66" s="171"/>
      <c r="L66" s="171"/>
      <c r="M66" s="171"/>
      <c r="N66" s="171"/>
    </row>
    <row r="67" spans="2:14" ht="21" customHeight="1">
      <c r="B67" s="171"/>
      <c r="C67" s="299"/>
      <c r="D67" s="171"/>
      <c r="E67" s="171"/>
      <c r="F67" s="171"/>
      <c r="G67" s="171"/>
      <c r="H67" s="567"/>
      <c r="I67" s="171"/>
      <c r="J67" s="171"/>
      <c r="K67" s="171"/>
      <c r="L67" s="171"/>
      <c r="M67" s="171"/>
      <c r="N67" s="171"/>
    </row>
    <row r="68" spans="2:14" ht="21" customHeight="1">
      <c r="B68" s="279" t="s">
        <v>1213</v>
      </c>
      <c r="C68" s="570">
        <f>H9/1000</f>
        <v>1916.10232965</v>
      </c>
      <c r="D68" s="171"/>
      <c r="E68" s="171"/>
      <c r="F68" s="171"/>
      <c r="G68" s="171"/>
      <c r="H68" s="567"/>
      <c r="I68" s="171"/>
      <c r="J68" s="171"/>
      <c r="K68" s="171"/>
      <c r="L68" s="171"/>
      <c r="M68" s="171"/>
      <c r="N68" s="171"/>
    </row>
    <row r="69" spans="2:14" ht="21" customHeight="1">
      <c r="B69" s="279" t="s">
        <v>1214</v>
      </c>
      <c r="C69" s="570">
        <f>H4</f>
        <v>9990</v>
      </c>
      <c r="D69" s="171"/>
      <c r="E69" s="171"/>
      <c r="F69" s="171"/>
      <c r="G69" s="171"/>
      <c r="H69" s="567"/>
      <c r="I69" s="171"/>
      <c r="J69" s="171"/>
      <c r="K69" s="171"/>
      <c r="L69" s="171"/>
      <c r="M69" s="171"/>
      <c r="N69" s="171"/>
    </row>
    <row r="70" spans="2:14" ht="21" customHeight="1">
      <c r="B70" s="279" t="s">
        <v>1215</v>
      </c>
      <c r="C70" s="572">
        <f>H8</f>
        <v>191.80203499999999</v>
      </c>
      <c r="D70" s="171"/>
      <c r="E70" s="171"/>
      <c r="F70" s="171"/>
      <c r="G70" s="171"/>
      <c r="H70" s="567"/>
      <c r="I70" s="171"/>
      <c r="J70" s="171"/>
      <c r="K70" s="171"/>
      <c r="L70" s="171"/>
      <c r="M70" s="171"/>
      <c r="N70" s="171"/>
    </row>
  </sheetData>
  <mergeCells count="1">
    <mergeCell ref="B1:B2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758E-E451-44F3-B829-02AA131DBB09}">
  <sheetPr>
    <tabColor rgb="FFFFFF00"/>
  </sheetPr>
  <dimension ref="A1:N126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5" sqref="G5"/>
    </sheetView>
  </sheetViews>
  <sheetFormatPr defaultColWidth="9.109375" defaultRowHeight="23.25" customHeight="1"/>
  <cols>
    <col min="1" max="1" width="5.109375" style="16" customWidth="1"/>
    <col min="2" max="2" width="36.109375" style="7" bestFit="1" customWidth="1"/>
    <col min="3" max="3" width="6.88671875" style="33" bestFit="1" customWidth="1"/>
    <col min="4" max="7" width="10" style="36" bestFit="1" customWidth="1"/>
    <col min="8" max="8" width="10" style="26" bestFit="1" customWidth="1"/>
    <col min="9" max="9" width="14.6640625" style="26" customWidth="1"/>
    <col min="10" max="16384" width="9.109375" style="26"/>
  </cols>
  <sheetData>
    <row r="1" spans="1:8" s="7" customFormat="1" ht="23.25" customHeight="1">
      <c r="A1" s="15"/>
      <c r="D1" s="10"/>
      <c r="E1" s="10"/>
      <c r="F1" s="10"/>
      <c r="G1" s="10"/>
      <c r="H1" s="10"/>
    </row>
    <row r="2" spans="1:8" s="27" customFormat="1" ht="14.4">
      <c r="A2" s="34"/>
      <c r="B2" s="670" t="s">
        <v>670</v>
      </c>
      <c r="C2" s="672" t="s">
        <v>671</v>
      </c>
      <c r="D2" s="387"/>
      <c r="E2" s="387"/>
      <c r="F2" s="387"/>
      <c r="G2" s="387"/>
      <c r="H2" s="387"/>
    </row>
    <row r="3" spans="1:8" s="27" customFormat="1" ht="15" thickBot="1">
      <c r="A3" s="34"/>
      <c r="B3" s="671"/>
      <c r="C3" s="673"/>
      <c r="D3" s="386">
        <f>'IP_BS Raw'!E2</f>
        <v>2021</v>
      </c>
      <c r="E3" s="386">
        <f>'IP_BS Raw'!F2</f>
        <v>2022</v>
      </c>
      <c r="F3" s="386">
        <f>'IP_BS Raw'!G2</f>
        <v>2023</v>
      </c>
      <c r="G3" s="386">
        <f>'IP_BS Raw'!H2</f>
        <v>2024</v>
      </c>
      <c r="H3" s="386">
        <f>'IP_BS Raw'!I2</f>
        <v>2025</v>
      </c>
    </row>
    <row r="4" spans="1:8" s="27" customFormat="1" ht="14.4">
      <c r="A4" s="34"/>
      <c r="B4" s="107" t="s">
        <v>672</v>
      </c>
      <c r="C4" s="391"/>
      <c r="D4" s="107"/>
      <c r="E4" s="107"/>
      <c r="F4" s="107"/>
      <c r="G4" s="107"/>
      <c r="H4" s="390"/>
    </row>
    <row r="5" spans="1:8" s="27" customFormat="1" ht="14.4">
      <c r="A5" s="34"/>
      <c r="B5" s="297" t="s">
        <v>664</v>
      </c>
      <c r="C5" s="298" t="s">
        <v>983</v>
      </c>
      <c r="D5" s="277">
        <f t="shared" ref="D5:F5" si="0">SUM(D6:D8)</f>
        <v>1892131002372</v>
      </c>
      <c r="E5" s="277">
        <f t="shared" si="0"/>
        <v>2007397494749</v>
      </c>
      <c r="F5" s="277">
        <f t="shared" si="0"/>
        <v>2180945411694</v>
      </c>
      <c r="G5" s="277">
        <f>SUM(G6:G8)</f>
        <v>2787912700840</v>
      </c>
      <c r="H5" s="277">
        <f>SUM(H6:H8)</f>
        <v>2787912700840</v>
      </c>
    </row>
    <row r="6" spans="1:8" s="27" customFormat="1" ht="14.4">
      <c r="A6" s="34"/>
      <c r="B6" s="299" t="s">
        <v>978</v>
      </c>
      <c r="C6" s="283" t="s">
        <v>983</v>
      </c>
      <c r="D6" s="278">
        <f>943678041239+150369414790</f>
        <v>1094047456029</v>
      </c>
      <c r="E6" s="278">
        <f>974514896630+143274511568</f>
        <v>1117789408198</v>
      </c>
      <c r="F6" s="278">
        <f>1048833291855+134893431608+270288395868</f>
        <v>1454015119331</v>
      </c>
      <c r="G6" s="278">
        <f>1340175286046+148078142904+368565738715</f>
        <v>1856819167665</v>
      </c>
      <c r="H6" s="278">
        <f>1340175286046+148078142904+368565738715</f>
        <v>1856819167665</v>
      </c>
    </row>
    <row r="7" spans="1:8" s="27" customFormat="1" ht="14.4">
      <c r="A7" s="34"/>
      <c r="B7" s="299" t="s">
        <v>979</v>
      </c>
      <c r="C7" s="283" t="s">
        <v>983</v>
      </c>
      <c r="D7" s="278">
        <f>455420373236</f>
        <v>455420373236</v>
      </c>
      <c r="E7" s="278">
        <f>461503344777</f>
        <v>461503344777</v>
      </c>
      <c r="F7" s="278">
        <f>339470619876+123101930358</f>
        <v>462572550234</v>
      </c>
      <c r="G7" s="278">
        <f>359937587038+184793287841</f>
        <v>544730874879</v>
      </c>
      <c r="H7" s="278">
        <f>359937587038+184793287841</f>
        <v>544730874879</v>
      </c>
    </row>
    <row r="8" spans="1:8" s="27" customFormat="1" ht="14.4">
      <c r="A8" s="34"/>
      <c r="B8" s="299" t="s">
        <v>980</v>
      </c>
      <c r="C8" s="283" t="s">
        <v>983</v>
      </c>
      <c r="D8" s="278">
        <f>342663173107</f>
        <v>342663173107</v>
      </c>
      <c r="E8" s="278">
        <f>428104741774</f>
        <v>428104741774</v>
      </c>
      <c r="F8" s="278">
        <f>160061235149+104296506980</f>
        <v>264357742129</v>
      </c>
      <c r="G8" s="278">
        <f>302815612715+83547045581</f>
        <v>386362658296</v>
      </c>
      <c r="H8" s="278">
        <f>302815612715+83547045581</f>
        <v>386362658296</v>
      </c>
    </row>
    <row r="9" spans="1:8" s="27" customFormat="1" ht="14.4">
      <c r="A9" s="34"/>
      <c r="B9" s="279" t="s">
        <v>674</v>
      </c>
      <c r="C9" s="298" t="s">
        <v>983</v>
      </c>
      <c r="D9" s="277">
        <f>'IP_IS Raw'!E8</f>
        <v>1079507793378</v>
      </c>
      <c r="E9" s="277">
        <f>'IP_IS Raw'!F8</f>
        <v>314124306314</v>
      </c>
      <c r="F9" s="277">
        <f>'IP_IS Raw'!G8</f>
        <v>411666784900</v>
      </c>
      <c r="G9" s="277">
        <f>'IP_IS Raw'!H8</f>
        <v>1026094868172</v>
      </c>
      <c r="H9" s="277">
        <f>'IP_IS Raw'!I8</f>
        <v>1639063078002</v>
      </c>
    </row>
    <row r="10" spans="1:8" s="27" customFormat="1" ht="14.4">
      <c r="A10" s="34"/>
      <c r="B10" s="300" t="s">
        <v>675</v>
      </c>
      <c r="C10" s="301"/>
      <c r="D10" s="280">
        <f t="shared" ref="D10:F10" si="1">D5-D9</f>
        <v>812623208994</v>
      </c>
      <c r="E10" s="280">
        <f t="shared" si="1"/>
        <v>1693273188435</v>
      </c>
      <c r="F10" s="280">
        <f t="shared" si="1"/>
        <v>1769278626794</v>
      </c>
      <c r="G10" s="280">
        <f>G5-G9</f>
        <v>1761817832668</v>
      </c>
      <c r="H10" s="280">
        <f>H5-H9</f>
        <v>1148849622838</v>
      </c>
    </row>
    <row r="11" spans="1:8" s="24" customFormat="1" ht="14.4">
      <c r="A11" s="35"/>
      <c r="B11" s="300" t="s">
        <v>676</v>
      </c>
      <c r="C11" s="301" t="s">
        <v>677</v>
      </c>
      <c r="D11" s="302"/>
      <c r="E11" s="302">
        <f t="shared" ref="E11:G11" si="2">E5/D5-1</f>
        <v>6.0918875190195898E-2</v>
      </c>
      <c r="F11" s="302">
        <f t="shared" si="2"/>
        <v>8.6454186277989731E-2</v>
      </c>
      <c r="G11" s="302">
        <f t="shared" si="2"/>
        <v>0.2783046681918333</v>
      </c>
      <c r="H11" s="302">
        <f>H5/G5-1</f>
        <v>0</v>
      </c>
    </row>
    <row r="12" spans="1:8" s="27" customFormat="1" ht="14.4">
      <c r="A12" s="34"/>
      <c r="B12" s="171"/>
      <c r="C12" s="281"/>
      <c r="D12" s="278"/>
      <c r="E12" s="278"/>
      <c r="F12" s="278"/>
      <c r="G12" s="278"/>
      <c r="H12" s="278"/>
    </row>
    <row r="13" spans="1:8" s="27" customFormat="1" ht="14.4">
      <c r="A13" s="34"/>
      <c r="B13" s="297" t="s">
        <v>678</v>
      </c>
      <c r="C13" s="298" t="s">
        <v>677</v>
      </c>
      <c r="D13" s="282">
        <f t="shared" ref="D13:G13" si="3">D5/D$5</f>
        <v>1</v>
      </c>
      <c r="E13" s="282">
        <f t="shared" si="3"/>
        <v>1</v>
      </c>
      <c r="F13" s="282">
        <f t="shared" si="3"/>
        <v>1</v>
      </c>
      <c r="G13" s="282">
        <f t="shared" si="3"/>
        <v>1</v>
      </c>
      <c r="H13" s="282">
        <f>H5/H$5</f>
        <v>1</v>
      </c>
    </row>
    <row r="14" spans="1:8" s="27" customFormat="1" ht="14.4">
      <c r="A14" s="34"/>
      <c r="B14" s="299" t="str">
        <f>B6</f>
        <v>Port Operation Services</v>
      </c>
      <c r="C14" s="283" t="s">
        <v>679</v>
      </c>
      <c r="D14" s="284">
        <f t="shared" ref="D14:G14" si="4">D6/D$5</f>
        <v>0.57820914865698403</v>
      </c>
      <c r="E14" s="284">
        <f t="shared" si="4"/>
        <v>0.55683511169160127</v>
      </c>
      <c r="F14" s="284">
        <f t="shared" si="4"/>
        <v>0.66669028556823284</v>
      </c>
      <c r="G14" s="284">
        <f t="shared" si="4"/>
        <v>0.66602486050066745</v>
      </c>
      <c r="H14" s="284">
        <f>H6/H$5</f>
        <v>0.66602486050066745</v>
      </c>
    </row>
    <row r="15" spans="1:8" s="27" customFormat="1" ht="14.4">
      <c r="A15" s="34"/>
      <c r="B15" s="299" t="str">
        <f>B7</f>
        <v>Transportation &amp; Freight Services</v>
      </c>
      <c r="C15" s="283" t="s">
        <v>679</v>
      </c>
      <c r="D15" s="284">
        <f t="shared" ref="D15:G15" si="5">D7/D$5</f>
        <v>0.24069177697795718</v>
      </c>
      <c r="E15" s="284">
        <f t="shared" si="5"/>
        <v>0.22990132546454395</v>
      </c>
      <c r="F15" s="284">
        <f t="shared" si="5"/>
        <v>0.21209726192766432</v>
      </c>
      <c r="G15" s="284">
        <f t="shared" si="5"/>
        <v>0.19539021961300015</v>
      </c>
      <c r="H15" s="284">
        <f>H7/H$5</f>
        <v>0.19539021961300015</v>
      </c>
    </row>
    <row r="16" spans="1:8" s="27" customFormat="1" ht="14.4">
      <c r="A16" s="34"/>
      <c r="B16" s="299" t="str">
        <f>B8</f>
        <v>Other</v>
      </c>
      <c r="C16" s="283" t="s">
        <v>679</v>
      </c>
      <c r="D16" s="284">
        <f t="shared" ref="D16:G16" si="6">D8/D$5</f>
        <v>0.18109907436505876</v>
      </c>
      <c r="E16" s="284">
        <f t="shared" si="6"/>
        <v>0.21326356284385478</v>
      </c>
      <c r="F16" s="284">
        <f t="shared" si="6"/>
        <v>0.12121245250410284</v>
      </c>
      <c r="G16" s="284">
        <f t="shared" si="6"/>
        <v>0.1385849198863324</v>
      </c>
      <c r="H16" s="284">
        <f>H8/H$5</f>
        <v>0.1385849198863324</v>
      </c>
    </row>
    <row r="17" spans="1:8" s="27" customFormat="1" ht="15" thickBot="1">
      <c r="A17" s="34"/>
      <c r="B17" s="285"/>
      <c r="C17" s="286"/>
      <c r="D17" s="287"/>
      <c r="E17" s="287"/>
      <c r="F17" s="287"/>
      <c r="G17" s="287"/>
      <c r="H17" s="287"/>
    </row>
    <row r="18" spans="1:8" s="27" customFormat="1" ht="15" thickTop="1">
      <c r="A18" s="34"/>
      <c r="B18" s="297" t="s">
        <v>665</v>
      </c>
      <c r="C18" s="298" t="s">
        <v>983</v>
      </c>
      <c r="D18" s="277">
        <f t="shared" ref="D18:F18" si="7">SUM(D19:D23)</f>
        <v>1792980479636.2739</v>
      </c>
      <c r="E18" s="277">
        <f t="shared" si="7"/>
        <v>2856860928436.7739</v>
      </c>
      <c r="F18" s="277">
        <f t="shared" si="7"/>
        <v>3210430194319.6357</v>
      </c>
      <c r="G18" s="277">
        <f>SUM(G19:G23)</f>
        <v>3704461157503.4199</v>
      </c>
      <c r="H18" s="277">
        <f>SUM(H19:H23)</f>
        <v>-1424028369399</v>
      </c>
    </row>
    <row r="19" spans="1:8" s="27" customFormat="1" ht="14.4">
      <c r="A19" s="34"/>
      <c r="B19" s="299" t="s">
        <v>680</v>
      </c>
      <c r="C19" s="283" t="s">
        <v>983</v>
      </c>
      <c r="D19" s="278">
        <f t="shared" ref="D19:G19" si="8">D95</f>
        <v>512296394069.27393</v>
      </c>
      <c r="E19" s="278">
        <f t="shared" si="8"/>
        <v>1533447995544.7739</v>
      </c>
      <c r="F19" s="278">
        <f t="shared" si="8"/>
        <v>1631807900263.6357</v>
      </c>
      <c r="G19" s="278">
        <f t="shared" si="8"/>
        <v>1601414643685.4199</v>
      </c>
      <c r="H19" s="278">
        <f>H95</f>
        <v>-1424028369399</v>
      </c>
    </row>
    <row r="20" spans="1:8" s="7" customFormat="1" ht="14.4">
      <c r="A20" s="16"/>
      <c r="B20" s="171" t="s">
        <v>681</v>
      </c>
      <c r="C20" s="283" t="s">
        <v>983</v>
      </c>
      <c r="D20" s="278">
        <f t="shared" ref="D20:G23" si="9">D97</f>
        <v>286828460685</v>
      </c>
      <c r="E20" s="278">
        <f t="shared" si="9"/>
        <v>311382278820</v>
      </c>
      <c r="F20" s="278">
        <f t="shared" si="9"/>
        <v>368910249822</v>
      </c>
      <c r="G20" s="278">
        <f t="shared" si="9"/>
        <v>384763275501</v>
      </c>
      <c r="H20" s="278">
        <f>H97</f>
        <v>0</v>
      </c>
    </row>
    <row r="21" spans="1:8" s="7" customFormat="1" ht="14.4">
      <c r="A21" s="16"/>
      <c r="B21" s="171" t="s">
        <v>682</v>
      </c>
      <c r="C21" s="283" t="s">
        <v>983</v>
      </c>
      <c r="D21" s="278">
        <f t="shared" si="9"/>
        <v>200434357266</v>
      </c>
      <c r="E21" s="278">
        <f t="shared" si="9"/>
        <v>201526522056</v>
      </c>
      <c r="F21" s="278">
        <f t="shared" si="9"/>
        <v>193367525445</v>
      </c>
      <c r="G21" s="278">
        <f t="shared" si="9"/>
        <v>254230428893</v>
      </c>
      <c r="H21" s="278">
        <f>H98</f>
        <v>0</v>
      </c>
    </row>
    <row r="22" spans="1:8" s="7" customFormat="1" ht="14.4">
      <c r="A22" s="16"/>
      <c r="B22" s="171" t="s">
        <v>683</v>
      </c>
      <c r="C22" s="283" t="s">
        <v>983</v>
      </c>
      <c r="D22" s="278">
        <f t="shared" si="9"/>
        <v>513905619374</v>
      </c>
      <c r="E22" s="278">
        <f t="shared" si="9"/>
        <v>562566703743</v>
      </c>
      <c r="F22" s="278">
        <f t="shared" si="9"/>
        <v>808118369862</v>
      </c>
      <c r="G22" s="278">
        <f t="shared" si="9"/>
        <v>1198518123985</v>
      </c>
      <c r="H22" s="278">
        <f>H99</f>
        <v>0</v>
      </c>
    </row>
    <row r="23" spans="1:8" s="7" customFormat="1" ht="14.4">
      <c r="A23" s="16"/>
      <c r="B23" s="171" t="s">
        <v>684</v>
      </c>
      <c r="C23" s="283" t="s">
        <v>983</v>
      </c>
      <c r="D23" s="278">
        <f t="shared" si="9"/>
        <v>279515648242</v>
      </c>
      <c r="E23" s="278">
        <f t="shared" si="9"/>
        <v>247937428273</v>
      </c>
      <c r="F23" s="278">
        <f t="shared" si="9"/>
        <v>208226148927</v>
      </c>
      <c r="G23" s="278">
        <f t="shared" si="9"/>
        <v>265534685439</v>
      </c>
      <c r="H23" s="278">
        <f>H100</f>
        <v>0</v>
      </c>
    </row>
    <row r="24" spans="1:8" s="7" customFormat="1" ht="14.4">
      <c r="A24" s="16"/>
      <c r="B24" s="171"/>
      <c r="C24" s="281"/>
      <c r="D24" s="278"/>
      <c r="E24" s="278"/>
      <c r="F24" s="278"/>
      <c r="G24" s="278"/>
      <c r="H24" s="278"/>
    </row>
    <row r="25" spans="1:8" s="7" customFormat="1" ht="14.4">
      <c r="A25" s="16"/>
      <c r="B25" s="297" t="s">
        <v>678</v>
      </c>
      <c r="C25" s="298" t="s">
        <v>677</v>
      </c>
      <c r="D25" s="284">
        <f t="shared" ref="D25:G25" si="10">D18/D$18</f>
        <v>1</v>
      </c>
      <c r="E25" s="284">
        <f t="shared" si="10"/>
        <v>1</v>
      </c>
      <c r="F25" s="284">
        <f t="shared" si="10"/>
        <v>1</v>
      </c>
      <c r="G25" s="284">
        <f t="shared" si="10"/>
        <v>1</v>
      </c>
      <c r="H25" s="284">
        <f t="shared" ref="H25:H30" si="11">H18/H$18</f>
        <v>1</v>
      </c>
    </row>
    <row r="26" spans="1:8" s="7" customFormat="1" ht="14.4">
      <c r="A26" s="16"/>
      <c r="B26" s="299" t="s">
        <v>680</v>
      </c>
      <c r="C26" s="283" t="s">
        <v>679</v>
      </c>
      <c r="D26" s="284">
        <f t="shared" ref="D26:G26" si="12">D19/D$18</f>
        <v>0.28572335275685712</v>
      </c>
      <c r="E26" s="284">
        <f t="shared" si="12"/>
        <v>0.53675976323560515</v>
      </c>
      <c r="F26" s="284">
        <f t="shared" si="12"/>
        <v>0.50828325224166837</v>
      </c>
      <c r="G26" s="284">
        <f t="shared" si="12"/>
        <v>0.43229354435036793</v>
      </c>
      <c r="H26" s="284">
        <f t="shared" si="11"/>
        <v>1</v>
      </c>
    </row>
    <row r="27" spans="1:8" s="7" customFormat="1" ht="14.4">
      <c r="A27" s="16"/>
      <c r="B27" s="171" t="s">
        <v>681</v>
      </c>
      <c r="C27" s="283" t="s">
        <v>679</v>
      </c>
      <c r="D27" s="284">
        <f t="shared" ref="D27:G27" si="13">D20/D$18</f>
        <v>0.1599729968857142</v>
      </c>
      <c r="E27" s="284">
        <f t="shared" si="13"/>
        <v>0.10899455262961755</v>
      </c>
      <c r="F27" s="284">
        <f t="shared" si="13"/>
        <v>0.11490991159836776</v>
      </c>
      <c r="G27" s="284">
        <f t="shared" si="13"/>
        <v>0.1038648427239299</v>
      </c>
      <c r="H27" s="284">
        <f t="shared" si="11"/>
        <v>0</v>
      </c>
    </row>
    <row r="28" spans="1:8" s="7" customFormat="1" ht="14.4">
      <c r="A28" s="16"/>
      <c r="B28" s="171" t="s">
        <v>682</v>
      </c>
      <c r="C28" s="283" t="s">
        <v>679</v>
      </c>
      <c r="D28" s="284">
        <f t="shared" ref="D28:G28" si="14">D21/D$18</f>
        <v>0.11178836554130268</v>
      </c>
      <c r="E28" s="284">
        <f t="shared" si="14"/>
        <v>7.0541243380115082E-2</v>
      </c>
      <c r="F28" s="284">
        <f t="shared" si="14"/>
        <v>6.0231032522412166E-2</v>
      </c>
      <c r="G28" s="284">
        <f t="shared" si="14"/>
        <v>6.8628180478570805E-2</v>
      </c>
      <c r="H28" s="284">
        <f t="shared" si="11"/>
        <v>0</v>
      </c>
    </row>
    <row r="29" spans="1:8" s="7" customFormat="1" ht="14.4">
      <c r="A29" s="16"/>
      <c r="B29" s="171" t="s">
        <v>683</v>
      </c>
      <c r="C29" s="283" t="s">
        <v>679</v>
      </c>
      <c r="D29" s="284">
        <f t="shared" ref="D29:G29" si="15">D22/D$18</f>
        <v>0.28662086688096655</v>
      </c>
      <c r="E29" s="284">
        <f t="shared" si="15"/>
        <v>0.1969177771809939</v>
      </c>
      <c r="F29" s="284">
        <f t="shared" si="15"/>
        <v>0.25171653670957916</v>
      </c>
      <c r="G29" s="284">
        <f t="shared" si="15"/>
        <v>0.32353372677626557</v>
      </c>
      <c r="H29" s="284">
        <f t="shared" si="11"/>
        <v>0</v>
      </c>
    </row>
    <row r="30" spans="1:8" s="7" customFormat="1" ht="14.4">
      <c r="A30" s="16"/>
      <c r="B30" s="171" t="s">
        <v>684</v>
      </c>
      <c r="C30" s="283" t="s">
        <v>679</v>
      </c>
      <c r="D30" s="284">
        <f t="shared" ref="D30:G30" si="16">D23/D$18</f>
        <v>0.15589441793515948</v>
      </c>
      <c r="E30" s="284">
        <f t="shared" si="16"/>
        <v>8.6786663573668307E-2</v>
      </c>
      <c r="F30" s="284">
        <f t="shared" si="16"/>
        <v>6.4859266927972545E-2</v>
      </c>
      <c r="G30" s="284">
        <f t="shared" si="16"/>
        <v>7.1679705670865804E-2</v>
      </c>
      <c r="H30" s="284">
        <f t="shared" si="11"/>
        <v>0</v>
      </c>
    </row>
    <row r="31" spans="1:8" s="7" customFormat="1" ht="15" thickBot="1">
      <c r="A31" s="16"/>
      <c r="B31" s="285"/>
      <c r="C31" s="286"/>
      <c r="D31" s="287"/>
      <c r="E31" s="287"/>
      <c r="F31" s="287"/>
      <c r="G31" s="287"/>
      <c r="H31" s="287"/>
    </row>
    <row r="32" spans="1:8" s="7" customFormat="1" ht="15" thickTop="1">
      <c r="A32" s="16"/>
      <c r="B32" s="297" t="s">
        <v>314</v>
      </c>
      <c r="C32" s="298" t="s">
        <v>983</v>
      </c>
      <c r="D32" s="277">
        <f t="shared" ref="D32:G32" si="17">D5+D18</f>
        <v>3685111482008.2739</v>
      </c>
      <c r="E32" s="277">
        <f t="shared" si="17"/>
        <v>4864258423185.7734</v>
      </c>
      <c r="F32" s="277">
        <f t="shared" si="17"/>
        <v>5391375606013.6357</v>
      </c>
      <c r="G32" s="277">
        <f t="shared" si="17"/>
        <v>6492373858343.4199</v>
      </c>
      <c r="H32" s="277">
        <f>H5+H18</f>
        <v>1363884331441</v>
      </c>
    </row>
    <row r="33" spans="1:8" s="27" customFormat="1" ht="14.4">
      <c r="A33" s="34"/>
      <c r="B33" s="300" t="s">
        <v>675</v>
      </c>
      <c r="C33" s="301"/>
      <c r="D33" s="280">
        <f>'IP_IS Raw'!E10-'PD_Annual Breakdown'!D32</f>
        <v>-3650986392046.2739</v>
      </c>
      <c r="E33" s="280">
        <f>'IP_IS Raw'!F10-'PD_Annual Breakdown'!E32</f>
        <v>-4759779737433.7734</v>
      </c>
      <c r="F33" s="280">
        <f>'IP_IS Raw'!G10-'PD_Annual Breakdown'!F32</f>
        <v>-5276189774105.6357</v>
      </c>
      <c r="G33" s="280">
        <f>'IP_IS Raw'!H10-'PD_Annual Breakdown'!G32</f>
        <v>-6321522694168.4199</v>
      </c>
      <c r="H33" s="280">
        <f>'IP_IS Raw'!I10-'PD_Annual Breakdown'!H32</f>
        <v>-1148849622838</v>
      </c>
    </row>
    <row r="34" spans="1:8" s="24" customFormat="1" ht="14.4">
      <c r="A34" s="35"/>
      <c r="B34" s="300" t="s">
        <v>676</v>
      </c>
      <c r="C34" s="301" t="s">
        <v>677</v>
      </c>
      <c r="D34" s="302"/>
      <c r="E34" s="302">
        <f t="shared" ref="E34:F34" si="18">E32/D32-1</f>
        <v>0.31997592119924145</v>
      </c>
      <c r="F34" s="302">
        <f t="shared" si="18"/>
        <v>0.10836537391091872</v>
      </c>
      <c r="G34" s="302">
        <f>G32/F32-1</f>
        <v>0.20421471861498786</v>
      </c>
      <c r="H34" s="302">
        <f>H32/G32-1</f>
        <v>-0.789925170484713</v>
      </c>
    </row>
    <row r="35" spans="1:8" s="24" customFormat="1" ht="14.4">
      <c r="A35" s="35"/>
      <c r="B35" s="300"/>
      <c r="C35" s="301"/>
      <c r="D35" s="280"/>
      <c r="E35" s="280"/>
      <c r="F35" s="280"/>
      <c r="G35" s="280"/>
      <c r="H35" s="280"/>
    </row>
    <row r="36" spans="1:8" s="32" customFormat="1" ht="14.4">
      <c r="A36" s="34"/>
      <c r="B36" s="303" t="s">
        <v>685</v>
      </c>
      <c r="C36" s="304" t="s">
        <v>677</v>
      </c>
      <c r="D36" s="288">
        <f t="shared" ref="D36:G36" si="19">D32/D5</f>
        <v>1.9475984894220169</v>
      </c>
      <c r="E36" s="288">
        <f t="shared" si="19"/>
        <v>2.4231665307493016</v>
      </c>
      <c r="F36" s="288">
        <f t="shared" si="19"/>
        <v>2.4720360157139405</v>
      </c>
      <c r="G36" s="288">
        <f t="shared" si="19"/>
        <v>2.3287579472582709</v>
      </c>
      <c r="H36" s="288">
        <f>H32/H5</f>
        <v>0.48921342875265095</v>
      </c>
    </row>
    <row r="37" spans="1:8" s="7" customFormat="1" ht="15" thickBot="1">
      <c r="A37" s="16"/>
      <c r="B37" s="285"/>
      <c r="C37" s="286"/>
      <c r="D37" s="287"/>
      <c r="E37" s="287"/>
      <c r="F37" s="287"/>
      <c r="G37" s="287"/>
      <c r="H37" s="287"/>
    </row>
    <row r="38" spans="1:8" s="7" customFormat="1" ht="15" thickTop="1">
      <c r="A38" s="16"/>
      <c r="B38" s="297" t="s">
        <v>282</v>
      </c>
      <c r="C38" s="298" t="s">
        <v>983</v>
      </c>
      <c r="D38" s="278">
        <f>'IP_IS Raw'!E15</f>
        <v>-86766850424</v>
      </c>
      <c r="E38" s="278">
        <f>'IP_IS Raw'!F15</f>
        <v>-20658752305</v>
      </c>
      <c r="F38" s="278">
        <f>'IP_IS Raw'!G15</f>
        <v>-14260496293</v>
      </c>
      <c r="G38" s="278">
        <f>'IP_IS Raw'!H15</f>
        <v>-26239808550</v>
      </c>
      <c r="H38" s="278">
        <f>'IP_IS Raw'!I15</f>
        <v>-39335239608</v>
      </c>
    </row>
    <row r="39" spans="1:8" s="24" customFormat="1" ht="14.4">
      <c r="A39" s="35"/>
      <c r="B39" s="300" t="s">
        <v>686</v>
      </c>
      <c r="C39" s="301" t="s">
        <v>677</v>
      </c>
      <c r="D39" s="302">
        <f t="shared" ref="D39:F39" si="20">-D38/D5</f>
        <v>4.5856682394204179E-2</v>
      </c>
      <c r="E39" s="302">
        <f t="shared" si="20"/>
        <v>1.0291311192247512E-2</v>
      </c>
      <c r="F39" s="302">
        <f t="shared" si="20"/>
        <v>6.5386763999395487E-3</v>
      </c>
      <c r="G39" s="302">
        <f>-G38/G5</f>
        <v>9.4119907492418702E-3</v>
      </c>
      <c r="H39" s="302">
        <f>-H38/H5</f>
        <v>1.4109207794113591E-2</v>
      </c>
    </row>
    <row r="40" spans="1:8" s="24" customFormat="1" ht="14.4">
      <c r="A40" s="35"/>
      <c r="B40" s="300"/>
      <c r="C40" s="301"/>
      <c r="D40" s="280"/>
      <c r="E40" s="280"/>
      <c r="F40" s="280"/>
      <c r="G40" s="280"/>
      <c r="H40" s="280"/>
    </row>
    <row r="41" spans="1:8" s="7" customFormat="1" ht="14.4">
      <c r="A41" s="16"/>
      <c r="B41" s="279" t="s">
        <v>687</v>
      </c>
      <c r="C41" s="298" t="s">
        <v>983</v>
      </c>
      <c r="D41" s="278">
        <f>'IP_IS Raw'!E16</f>
        <v>-211115902487</v>
      </c>
      <c r="E41" s="278">
        <f>'IP_IS Raw'!F16</f>
        <v>-93384172422</v>
      </c>
      <c r="F41" s="278">
        <f>'IP_IS Raw'!G16</f>
        <v>-66900478155</v>
      </c>
      <c r="G41" s="278">
        <f>'IP_IS Raw'!H16</f>
        <v>-151633232794</v>
      </c>
      <c r="H41" s="278">
        <f>'IP_IS Raw'!I16</f>
        <v>-167762629718</v>
      </c>
    </row>
    <row r="42" spans="1:8" s="7" customFormat="1" ht="14.4">
      <c r="A42" s="16"/>
      <c r="B42" s="300" t="s">
        <v>686</v>
      </c>
      <c r="C42" s="301" t="s">
        <v>677</v>
      </c>
      <c r="D42" s="302">
        <f t="shared" ref="D42:F42" si="21">-D41/D5</f>
        <v>0.11157573245316649</v>
      </c>
      <c r="E42" s="302">
        <f t="shared" si="21"/>
        <v>4.6520020407655495E-2</v>
      </c>
      <c r="F42" s="302">
        <f t="shared" si="21"/>
        <v>3.0674989752740564E-2</v>
      </c>
      <c r="G42" s="302">
        <f>-G41/G5</f>
        <v>5.4389519710682767E-2</v>
      </c>
      <c r="H42" s="302">
        <f>-H41/H5</f>
        <v>6.0174993882503212E-2</v>
      </c>
    </row>
    <row r="43" spans="1:8" s="7" customFormat="1" ht="14.4">
      <c r="A43" s="16"/>
      <c r="B43" s="300"/>
      <c r="C43" s="301"/>
      <c r="D43" s="305"/>
      <c r="E43" s="305"/>
      <c r="F43" s="305"/>
      <c r="G43" s="305"/>
      <c r="H43" s="305"/>
    </row>
    <row r="44" spans="1:8" s="7" customFormat="1" ht="14.4">
      <c r="A44" s="16"/>
      <c r="B44" s="297" t="s">
        <v>688</v>
      </c>
      <c r="C44" s="298" t="s">
        <v>677</v>
      </c>
      <c r="D44" s="306">
        <f t="shared" ref="D44:F44" si="22">(D18+D38+D41)/(D$18+D$38+D$41)</f>
        <v>1</v>
      </c>
      <c r="E44" s="306">
        <f t="shared" si="22"/>
        <v>1</v>
      </c>
      <c r="F44" s="306">
        <f t="shared" si="22"/>
        <v>1</v>
      </c>
      <c r="G44" s="306">
        <f>(G18+G38+G41)/(G$18+G$38+G$41)</f>
        <v>1</v>
      </c>
      <c r="H44" s="306">
        <f>(H18+H38+H41)/(H$18+H$38+H$41)</f>
        <v>1</v>
      </c>
    </row>
    <row r="45" spans="1:8" s="7" customFormat="1" ht="14.4">
      <c r="A45" s="16"/>
      <c r="B45" s="295" t="s">
        <v>689</v>
      </c>
      <c r="C45" s="298" t="s">
        <v>677</v>
      </c>
      <c r="D45" s="306">
        <f t="shared" ref="D45:F45" si="23">(D18)/(D$18+D$38+D$41)</f>
        <v>1.1992396534261711</v>
      </c>
      <c r="E45" s="306">
        <f t="shared" si="23"/>
        <v>1.0415787429471268</v>
      </c>
      <c r="F45" s="306">
        <f t="shared" si="23"/>
        <v>1.0259360792393981</v>
      </c>
      <c r="G45" s="306">
        <f>(G18)/(G$18+G$38+G$41)</f>
        <v>1.0504377135875198</v>
      </c>
      <c r="H45" s="306">
        <f>(H18)/(H$18+H$38+H$41)</f>
        <v>0.87303381895941923</v>
      </c>
    </row>
    <row r="46" spans="1:8" s="7" customFormat="1" ht="14.4">
      <c r="A46" s="16"/>
      <c r="B46" s="295" t="s">
        <v>690</v>
      </c>
      <c r="C46" s="298" t="s">
        <v>677</v>
      </c>
      <c r="D46" s="282">
        <f t="shared" ref="D46:F46" si="24">(D38)/(D$18+D$38+D$41)</f>
        <v>-5.8034233396934004E-2</v>
      </c>
      <c r="E46" s="282">
        <f t="shared" si="24"/>
        <v>-7.5319442547986011E-3</v>
      </c>
      <c r="F46" s="282">
        <f t="shared" si="24"/>
        <v>-4.5571330847605923E-3</v>
      </c>
      <c r="G46" s="282">
        <f>(G38)/(G$18+G$38+G$41)</f>
        <v>-7.4405651257556226E-3</v>
      </c>
      <c r="H46" s="282">
        <f>(H38)/(H$18+H$38+H$41)</f>
        <v>2.4115386457609262E-2</v>
      </c>
    </row>
    <row r="47" spans="1:8" s="7" customFormat="1" ht="14.4">
      <c r="A47" s="16"/>
      <c r="B47" s="295" t="s">
        <v>691</v>
      </c>
      <c r="C47" s="298" t="s">
        <v>677</v>
      </c>
      <c r="D47" s="282">
        <f t="shared" ref="D47:G47" si="25">(D41)/(D$18+D$38+D$41)</f>
        <v>-0.14120542002923719</v>
      </c>
      <c r="E47" s="282">
        <f t="shared" si="25"/>
        <v>-3.4046798692328135E-2</v>
      </c>
      <c r="F47" s="282">
        <f t="shared" si="25"/>
        <v>-2.1378946154637438E-2</v>
      </c>
      <c r="G47" s="282">
        <f t="shared" si="25"/>
        <v>-4.2997148461764223E-2</v>
      </c>
      <c r="H47" s="282">
        <f>(H41)/(H$18+H$38+H$41)</f>
        <v>0.10285079458297156</v>
      </c>
    </row>
    <row r="48" spans="1:8" s="7" customFormat="1" ht="14.4">
      <c r="A48" s="16"/>
      <c r="B48" s="299" t="s">
        <v>680</v>
      </c>
      <c r="C48" s="283" t="s">
        <v>679</v>
      </c>
      <c r="D48" s="284">
        <f t="shared" ref="D48:F48" si="26">(D103)/(D$18+D$38+D$41)</f>
        <v>9.2634416789832419E-2</v>
      </c>
      <c r="E48" s="284">
        <f t="shared" si="26"/>
        <v>7.650538290297873E-2</v>
      </c>
      <c r="F48" s="284">
        <f t="shared" si="26"/>
        <v>5.5870322210938357E-2</v>
      </c>
      <c r="G48" s="284">
        <f>(G103)/(G$18+G$38+G$41)</f>
        <v>5.0135119584236547E-2</v>
      </c>
      <c r="H48" s="284">
        <f>(H103)/(H$18+H$38+H$41)</f>
        <v>0</v>
      </c>
    </row>
    <row r="49" spans="1:8" s="7" customFormat="1" ht="14.4">
      <c r="A49" s="16"/>
      <c r="B49" s="171" t="s">
        <v>681</v>
      </c>
      <c r="C49" s="283" t="s">
        <v>679</v>
      </c>
      <c r="D49" s="284">
        <f t="shared" ref="D49:G49" si="27">(D104)/(D$18+D$38+D$41)</f>
        <v>0.19184596134276985</v>
      </c>
      <c r="E49" s="284">
        <f t="shared" si="27"/>
        <v>0.11352640911604149</v>
      </c>
      <c r="F49" s="284">
        <f t="shared" si="27"/>
        <v>0.11789022417097526</v>
      </c>
      <c r="G49" s="284">
        <f t="shared" si="27"/>
        <v>0.10910354791305227</v>
      </c>
      <c r="H49" s="284">
        <f>(H104)/(H$18+H$38+H$41)</f>
        <v>0</v>
      </c>
    </row>
    <row r="50" spans="1:8" s="7" customFormat="1" ht="14.4">
      <c r="A50" s="16"/>
      <c r="B50" s="171" t="s">
        <v>682</v>
      </c>
      <c r="C50" s="283" t="s">
        <v>679</v>
      </c>
      <c r="D50" s="284">
        <f>(D105)/(D$18+D$38+D$41)</f>
        <v>0.13406104074882996</v>
      </c>
      <c r="E50" s="284">
        <f t="shared" ref="E50:G50" si="28">(E105)/(E$18+E$38+E$41)</f>
        <v>7.3474259605787587E-2</v>
      </c>
      <c r="F50" s="284">
        <f t="shared" si="28"/>
        <v>6.1793189354584208E-2</v>
      </c>
      <c r="G50" s="284">
        <f t="shared" si="28"/>
        <v>7.2089628989581572E-2</v>
      </c>
      <c r="H50" s="284">
        <f>(H105)/(H$18+H$38+H$41)</f>
        <v>0</v>
      </c>
    </row>
    <row r="51" spans="1:8" s="7" customFormat="1" ht="14.4">
      <c r="A51" s="16"/>
      <c r="B51" s="171" t="s">
        <v>683</v>
      </c>
      <c r="C51" s="283" t="s">
        <v>679</v>
      </c>
      <c r="D51" s="284">
        <f t="shared" ref="D51:G51" si="29">(D106)/(D$18+D$38+D$41)</f>
        <v>0.34372710906303905</v>
      </c>
      <c r="E51" s="284">
        <f t="shared" si="29"/>
        <v>0.20510537082012203</v>
      </c>
      <c r="F51" s="284">
        <f t="shared" si="29"/>
        <v>0.25824507675154568</v>
      </c>
      <c r="G51" s="284">
        <f t="shared" si="29"/>
        <v>0.33985202822330979</v>
      </c>
      <c r="H51" s="284">
        <f>(H106)/(H$18+H$38+H$41)</f>
        <v>0</v>
      </c>
    </row>
    <row r="52" spans="1:8" s="7" customFormat="1" ht="14.4">
      <c r="A52" s="16"/>
      <c r="B52" s="171" t="s">
        <v>684</v>
      </c>
      <c r="C52" s="283" t="s">
        <v>679</v>
      </c>
      <c r="D52" s="284">
        <f t="shared" ref="D52:G52" si="30">(D107)/(D$18+D$38+D$41)</f>
        <v>0.18695476773563535</v>
      </c>
      <c r="E52" s="284">
        <f t="shared" si="30"/>
        <v>9.039514394963663E-2</v>
      </c>
      <c r="F52" s="284">
        <f t="shared" si="30"/>
        <v>6.6541462014425706E-2</v>
      </c>
      <c r="G52" s="284">
        <f t="shared" si="30"/>
        <v>7.5295066135530664E-2</v>
      </c>
      <c r="H52" s="284">
        <f>(H107)/(H$18+H$38+H$41)</f>
        <v>0</v>
      </c>
    </row>
    <row r="53" spans="1:8" s="7" customFormat="1" ht="15" thickBot="1">
      <c r="A53" s="16"/>
      <c r="B53" s="285"/>
      <c r="C53" s="286"/>
      <c r="D53" s="287"/>
      <c r="E53" s="287"/>
      <c r="F53" s="287"/>
      <c r="G53" s="287"/>
      <c r="H53" s="287"/>
    </row>
    <row r="54" spans="1:8" s="7" customFormat="1" ht="15" thickTop="1">
      <c r="A54" s="16"/>
      <c r="B54" s="297" t="s">
        <v>692</v>
      </c>
      <c r="C54" s="298" t="s">
        <v>983</v>
      </c>
      <c r="D54" s="289">
        <f>'IP_IS Raw'!E11</f>
        <v>423849348595</v>
      </c>
      <c r="E54" s="289">
        <f>'IP_IS Raw'!F11</f>
        <v>47340388199</v>
      </c>
      <c r="F54" s="289">
        <f>'IP_IS Raw'!G11</f>
        <v>43586401680</v>
      </c>
      <c r="G54" s="289">
        <f>'IP_IS Raw'!H11</f>
        <v>191906506913</v>
      </c>
      <c r="H54" s="289">
        <f>'IP_IS Raw'!I11</f>
        <v>120349183176</v>
      </c>
    </row>
    <row r="55" spans="1:8" s="7" customFormat="1" ht="14.4">
      <c r="A55" s="16"/>
      <c r="B55" s="171"/>
      <c r="C55" s="281"/>
      <c r="D55" s="290"/>
      <c r="E55" s="290"/>
      <c r="F55" s="290"/>
      <c r="G55" s="290"/>
      <c r="H55" s="290"/>
    </row>
    <row r="56" spans="1:8" s="7" customFormat="1" ht="14.4">
      <c r="A56" s="16"/>
      <c r="B56" s="297" t="s">
        <v>693</v>
      </c>
      <c r="C56" s="298" t="s">
        <v>983</v>
      </c>
      <c r="D56" s="289">
        <f>'IP_IS Raw'!E12</f>
        <v>-28037984463</v>
      </c>
      <c r="E56" s="289">
        <f>'IP_IS Raw'!F12</f>
        <v>-9021747176</v>
      </c>
      <c r="F56" s="289">
        <f>'IP_IS Raw'!G12</f>
        <v>-23482415579</v>
      </c>
      <c r="G56" s="289">
        <f>'IP_IS Raw'!H12</f>
        <v>-51108323960</v>
      </c>
      <c r="H56" s="289">
        <f>'IP_IS Raw'!I12</f>
        <v>-27197709414</v>
      </c>
    </row>
    <row r="57" spans="1:8" s="7" customFormat="1" ht="14.4">
      <c r="A57" s="16"/>
      <c r="B57" s="299" t="s">
        <v>694</v>
      </c>
      <c r="C57" s="283" t="s">
        <v>983</v>
      </c>
      <c r="D57" s="290">
        <f>'IP_IS Raw'!E13</f>
        <v>-21801000846</v>
      </c>
      <c r="E57" s="290">
        <f>'IP_IS Raw'!F13</f>
        <v>-6906877175</v>
      </c>
      <c r="F57" s="290">
        <f>'IP_IS Raw'!G13</f>
        <v>-21505000199</v>
      </c>
      <c r="G57" s="290">
        <f>'IP_IS Raw'!H13</f>
        <v>-28208427529</v>
      </c>
      <c r="H57" s="290">
        <f>'IP_IS Raw'!I13</f>
        <v>-25900554619</v>
      </c>
    </row>
    <row r="58" spans="1:8" s="7" customFormat="1" ht="14.4">
      <c r="A58" s="16"/>
      <c r="B58" s="171"/>
      <c r="C58" s="281"/>
      <c r="D58" s="290"/>
      <c r="E58" s="290"/>
      <c r="F58" s="290"/>
      <c r="G58" s="290"/>
      <c r="H58" s="290"/>
    </row>
    <row r="59" spans="1:8" s="7" customFormat="1" ht="14.4">
      <c r="A59" s="16"/>
      <c r="B59" s="171" t="s">
        <v>695</v>
      </c>
      <c r="C59" s="283" t="s">
        <v>983</v>
      </c>
      <c r="D59" s="290">
        <f>'IP_IS Raw'!E14</f>
        <v>436847500</v>
      </c>
      <c r="E59" s="290">
        <f>'IP_IS Raw'!F14</f>
        <v>505897455</v>
      </c>
      <c r="F59" s="290">
        <f>'IP_IS Raw'!G14</f>
        <v>-4853955053</v>
      </c>
      <c r="G59" s="290">
        <f>'IP_IS Raw'!H14</f>
        <v>-15223546244</v>
      </c>
      <c r="H59" s="290">
        <f>'IP_IS Raw'!I14</f>
        <v>-1456928964</v>
      </c>
    </row>
    <row r="60" spans="1:8" s="7" customFormat="1" ht="14.4">
      <c r="A60" s="16"/>
      <c r="B60" s="171"/>
      <c r="C60" s="281"/>
      <c r="D60" s="290"/>
      <c r="E60" s="290"/>
      <c r="F60" s="290"/>
      <c r="G60" s="290"/>
      <c r="H60" s="290"/>
    </row>
    <row r="61" spans="1:8" s="7" customFormat="1" ht="14.4">
      <c r="A61" s="16"/>
      <c r="B61" s="171" t="s">
        <v>696</v>
      </c>
      <c r="C61" s="283" t="s">
        <v>983</v>
      </c>
      <c r="D61" s="290">
        <f>'IP_IS Raw'!E18</f>
        <v>-34173832376</v>
      </c>
      <c r="E61" s="290">
        <f>'IP_IS Raw'!F18</f>
        <v>-345291142</v>
      </c>
      <c r="F61" s="290">
        <f>'IP_IS Raw'!G18</f>
        <v>-20350770574</v>
      </c>
      <c r="G61" s="290">
        <f>'IP_IS Raw'!H18</f>
        <v>-7930215677</v>
      </c>
      <c r="H61" s="290">
        <f>'IP_IS Raw'!I18</f>
        <v>-4951888334</v>
      </c>
    </row>
    <row r="62" spans="1:8" s="7" customFormat="1" ht="15" thickBot="1">
      <c r="A62" s="16"/>
      <c r="B62" s="285"/>
      <c r="C62" s="286"/>
      <c r="D62" s="287"/>
      <c r="E62" s="287"/>
      <c r="F62" s="287"/>
      <c r="G62" s="287"/>
      <c r="H62" s="287"/>
    </row>
    <row r="63" spans="1:8" s="7" customFormat="1" ht="15" thickTop="1">
      <c r="A63" s="16"/>
      <c r="B63" s="297" t="s">
        <v>697</v>
      </c>
      <c r="C63" s="298" t="s">
        <v>983</v>
      </c>
      <c r="D63" s="307">
        <f t="shared" ref="D63:G63" si="31">D32+D54+D56+D59+D61+D38+D41</f>
        <v>3749303108353.2739</v>
      </c>
      <c r="E63" s="307">
        <f t="shared" si="31"/>
        <v>4788694745794.7734</v>
      </c>
      <c r="F63" s="307">
        <f t="shared" si="31"/>
        <v>5305113892039.6357</v>
      </c>
      <c r="G63" s="307">
        <f t="shared" si="31"/>
        <v>6432145238031.4199</v>
      </c>
      <c r="H63" s="307">
        <f>H32+H54+H56+H59+H61+H38+H41</f>
        <v>1243529118579</v>
      </c>
    </row>
    <row r="64" spans="1:8" s="7" customFormat="1" ht="14.4">
      <c r="A64" s="16"/>
      <c r="B64" s="300" t="s">
        <v>675</v>
      </c>
      <c r="C64" s="301"/>
      <c r="D64" s="291">
        <f>D63-'IP_IS Raw'!E22</f>
        <v>3650986392046.2739</v>
      </c>
      <c r="E64" s="291">
        <f>E63-'IP_IS Raw'!F22</f>
        <v>4759779737433.7734</v>
      </c>
      <c r="F64" s="291">
        <f>F63-'IP_IS Raw'!G22</f>
        <v>5276189774105.6357</v>
      </c>
      <c r="G64" s="291">
        <f>G63-'IP_IS Raw'!H22</f>
        <v>6321522694168.4199</v>
      </c>
      <c r="H64" s="291">
        <f>H63-'IP_IS Raw'!I22</f>
        <v>1148849622838</v>
      </c>
    </row>
    <row r="65" spans="1:8" s="7" customFormat="1" ht="14.4">
      <c r="A65" s="16"/>
      <c r="B65" s="300" t="s">
        <v>676</v>
      </c>
      <c r="C65" s="301" t="s">
        <v>677</v>
      </c>
      <c r="D65" s="308"/>
      <c r="E65" s="308">
        <f t="shared" ref="E65:G65" si="32">E63/D63-1</f>
        <v>0.27722262175223533</v>
      </c>
      <c r="F65" s="308">
        <f t="shared" si="32"/>
        <v>0.1078413166131249</v>
      </c>
      <c r="G65" s="308">
        <f t="shared" si="32"/>
        <v>0.21244244118545752</v>
      </c>
      <c r="H65" s="308">
        <f>H63/G63-1</f>
        <v>-0.80666961448159302</v>
      </c>
    </row>
    <row r="66" spans="1:8" s="7" customFormat="1" ht="14.4">
      <c r="A66" s="16"/>
      <c r="B66" s="171"/>
      <c r="C66" s="281"/>
      <c r="D66" s="278"/>
      <c r="E66" s="278"/>
      <c r="F66" s="278"/>
      <c r="G66" s="278"/>
      <c r="H66" s="278"/>
    </row>
    <row r="67" spans="1:8" s="7" customFormat="1" ht="14.4">
      <c r="A67" s="16"/>
      <c r="B67" s="299" t="s">
        <v>698</v>
      </c>
      <c r="C67" s="283" t="s">
        <v>983</v>
      </c>
      <c r="D67" s="290">
        <f>'IP_IS Raw'!E23</f>
        <v>-68326484945</v>
      </c>
      <c r="E67" s="290">
        <f>'IP_IS Raw'!F23</f>
        <v>-4024148047</v>
      </c>
      <c r="F67" s="290">
        <f>'IP_IS Raw'!G23</f>
        <v>-2405158607</v>
      </c>
      <c r="G67" s="290">
        <f>'IP_IS Raw'!H23</f>
        <v>11951746732</v>
      </c>
      <c r="H67" s="290">
        <f>'IP_IS Raw'!I23</f>
        <v>-17278295298</v>
      </c>
    </row>
    <row r="68" spans="1:8" s="7" customFormat="1" ht="14.4">
      <c r="A68" s="16"/>
      <c r="B68" s="299" t="s">
        <v>699</v>
      </c>
      <c r="C68" s="283" t="s">
        <v>983</v>
      </c>
      <c r="D68" s="292">
        <f t="shared" ref="D68:G68" si="33">-D67/D63</f>
        <v>1.8223782652507275E-2</v>
      </c>
      <c r="E68" s="292">
        <f t="shared" si="33"/>
        <v>8.4034340475216854E-4</v>
      </c>
      <c r="F68" s="292">
        <f t="shared" si="33"/>
        <v>4.5336606450786267E-4</v>
      </c>
      <c r="G68" s="292">
        <f t="shared" si="33"/>
        <v>-1.8581276214555554E-3</v>
      </c>
      <c r="H68" s="292">
        <f>-H67/H63</f>
        <v>1.3894564300789496E-2</v>
      </c>
    </row>
    <row r="69" spans="1:8" s="7" customFormat="1" ht="15" thickBot="1">
      <c r="A69" s="16"/>
      <c r="B69" s="285"/>
      <c r="C69" s="286"/>
      <c r="D69" s="287"/>
      <c r="E69" s="287"/>
      <c r="F69" s="287"/>
      <c r="G69" s="287"/>
      <c r="H69" s="287"/>
    </row>
    <row r="70" spans="1:8" s="7" customFormat="1" ht="15" thickTop="1">
      <c r="A70" s="16"/>
      <c r="B70" s="297" t="s">
        <v>700</v>
      </c>
      <c r="C70" s="298" t="s">
        <v>983</v>
      </c>
      <c r="D70" s="307">
        <f t="shared" ref="D70:G70" si="34">D63+D67</f>
        <v>3680976623408.2739</v>
      </c>
      <c r="E70" s="307">
        <f t="shared" si="34"/>
        <v>4784670597747.7734</v>
      </c>
      <c r="F70" s="307">
        <f t="shared" si="34"/>
        <v>5302708733432.6357</v>
      </c>
      <c r="G70" s="307">
        <f t="shared" si="34"/>
        <v>6444096984763.4199</v>
      </c>
      <c r="H70" s="307">
        <f>H63+H67</f>
        <v>1226250823281</v>
      </c>
    </row>
    <row r="71" spans="1:8" s="7" customFormat="1" ht="14.4">
      <c r="A71" s="16"/>
      <c r="B71" s="300" t="s">
        <v>675</v>
      </c>
      <c r="C71" s="301"/>
      <c r="D71" s="291">
        <f>D70-'IP_IS Raw'!E26</f>
        <v>3650986392046.2739</v>
      </c>
      <c r="E71" s="291">
        <f>E70-'IP_IS Raw'!F26</f>
        <v>4759779737433.7734</v>
      </c>
      <c r="F71" s="291">
        <f>F70-'IP_IS Raw'!G26</f>
        <v>5276189774105.6357</v>
      </c>
      <c r="G71" s="291">
        <f>G70-'IP_IS Raw'!H26</f>
        <v>6321522694168.4199</v>
      </c>
      <c r="H71" s="291">
        <f>H70-'IP_IS Raw'!I26</f>
        <v>1148849622838</v>
      </c>
    </row>
    <row r="72" spans="1:8" s="7" customFormat="1" ht="14.4">
      <c r="A72" s="16"/>
      <c r="B72" s="300" t="s">
        <v>676</v>
      </c>
      <c r="C72" s="301" t="s">
        <v>677</v>
      </c>
      <c r="D72" s="308"/>
      <c r="E72" s="308">
        <f t="shared" ref="E72:G72" si="35">E70/D70-1</f>
        <v>0.29983726800133059</v>
      </c>
      <c r="F72" s="308">
        <f t="shared" si="35"/>
        <v>0.10827038666542932</v>
      </c>
      <c r="G72" s="308">
        <f t="shared" si="35"/>
        <v>0.21524626539159764</v>
      </c>
      <c r="H72" s="308">
        <f>H70/G70-1</f>
        <v>-0.80970944009992751</v>
      </c>
    </row>
    <row r="73" spans="1:8" s="7" customFormat="1" ht="14.4">
      <c r="A73" s="16"/>
      <c r="B73" s="171"/>
      <c r="C73" s="281"/>
      <c r="D73" s="309"/>
      <c r="E73" s="309"/>
      <c r="F73" s="309"/>
      <c r="G73" s="309"/>
      <c r="H73" s="309"/>
    </row>
    <row r="74" spans="1:8" s="27" customFormat="1" ht="14.4">
      <c r="A74" s="34"/>
      <c r="B74" s="107" t="s">
        <v>701</v>
      </c>
      <c r="C74" s="391"/>
      <c r="D74" s="392"/>
      <c r="E74" s="392"/>
      <c r="F74" s="392"/>
      <c r="G74" s="392"/>
      <c r="H74" s="392"/>
    </row>
    <row r="75" spans="1:8" s="7" customFormat="1" ht="14.4">
      <c r="A75" s="16"/>
      <c r="B75" s="297" t="s">
        <v>664</v>
      </c>
      <c r="C75" s="298" t="s">
        <v>983</v>
      </c>
      <c r="D75" s="289">
        <f>IFERROR('IP_IS Raw'!E8,"")</f>
        <v>1079507793378</v>
      </c>
      <c r="E75" s="289">
        <f>IFERROR('IP_IS Raw'!F8,"")</f>
        <v>314124306314</v>
      </c>
      <c r="F75" s="289">
        <f>IFERROR('IP_IS Raw'!G8,"")</f>
        <v>411666784900</v>
      </c>
      <c r="G75" s="289">
        <f>IFERROR('IP_IS Raw'!H8,"")</f>
        <v>1026094868172</v>
      </c>
      <c r="H75" s="289">
        <f>IFERROR('IP_IS Raw'!I8,"")</f>
        <v>1639063078002</v>
      </c>
    </row>
    <row r="76" spans="1:8" s="7" customFormat="1" ht="14.4">
      <c r="A76" s="16"/>
      <c r="B76" s="299"/>
      <c r="C76" s="283"/>
      <c r="D76" s="290"/>
      <c r="E76" s="290"/>
      <c r="F76" s="290"/>
      <c r="G76" s="290"/>
      <c r="H76" s="290"/>
    </row>
    <row r="77" spans="1:8" s="15" customFormat="1" ht="14.4">
      <c r="A77" s="16"/>
      <c r="B77" s="107" t="s">
        <v>981</v>
      </c>
      <c r="C77" s="391" t="s">
        <v>983</v>
      </c>
      <c r="D77" s="393">
        <f t="shared" ref="D77:G77" si="36">D6</f>
        <v>1094047456029</v>
      </c>
      <c r="E77" s="393">
        <f t="shared" si="36"/>
        <v>1117789408198</v>
      </c>
      <c r="F77" s="393">
        <f t="shared" si="36"/>
        <v>1454015119331</v>
      </c>
      <c r="G77" s="393">
        <f t="shared" si="36"/>
        <v>1856819167665</v>
      </c>
      <c r="H77" s="393">
        <f>H6</f>
        <v>1856819167665</v>
      </c>
    </row>
    <row r="78" spans="1:8" ht="14.4">
      <c r="B78" s="299" t="s">
        <v>702</v>
      </c>
      <c r="C78" s="283"/>
      <c r="D78" s="293"/>
      <c r="E78" s="293"/>
      <c r="F78" s="293"/>
      <c r="G78" s="293"/>
      <c r="H78" s="293"/>
    </row>
    <row r="79" spans="1:8" s="38" customFormat="1" ht="14.4">
      <c r="A79" s="37"/>
      <c r="B79" s="310" t="s">
        <v>703</v>
      </c>
      <c r="C79" s="311" t="s">
        <v>677</v>
      </c>
      <c r="D79" s="312"/>
      <c r="E79" s="312" t="str">
        <f t="shared" ref="E79:G79" si="37">IFERROR(E78/D78-1,"N/A")</f>
        <v>N/A</v>
      </c>
      <c r="F79" s="312" t="str">
        <f t="shared" si="37"/>
        <v>N/A</v>
      </c>
      <c r="G79" s="312" t="str">
        <f t="shared" si="37"/>
        <v>N/A</v>
      </c>
      <c r="H79" s="312" t="str">
        <f>IFERROR(H78/G78-1,"N/A")</f>
        <v>N/A</v>
      </c>
    </row>
    <row r="80" spans="1:8" s="7" customFormat="1" ht="14.4">
      <c r="A80" s="16"/>
      <c r="B80" s="171" t="s">
        <v>704</v>
      </c>
      <c r="C80" s="283"/>
      <c r="D80" s="293"/>
      <c r="E80" s="293"/>
      <c r="F80" s="293"/>
      <c r="G80" s="293"/>
      <c r="H80" s="293"/>
    </row>
    <row r="81" spans="1:8" s="38" customFormat="1" ht="14.4">
      <c r="A81" s="37"/>
      <c r="B81" s="310" t="s">
        <v>703</v>
      </c>
      <c r="C81" s="311" t="s">
        <v>677</v>
      </c>
      <c r="D81" s="312"/>
      <c r="E81" s="312" t="str">
        <f t="shared" ref="E81:G81" si="38">IFERROR(E80/D80-1,"N/A")</f>
        <v>N/A</v>
      </c>
      <c r="F81" s="312" t="str">
        <f t="shared" si="38"/>
        <v>N/A</v>
      </c>
      <c r="G81" s="312" t="str">
        <f t="shared" si="38"/>
        <v>N/A</v>
      </c>
      <c r="H81" s="312" t="str">
        <f>IFERROR(H80/G80-1,"N/A")</f>
        <v>N/A</v>
      </c>
    </row>
    <row r="82" spans="1:8" s="38" customFormat="1" ht="14.4">
      <c r="A82" s="37"/>
      <c r="B82" s="310"/>
      <c r="C82" s="311"/>
      <c r="D82" s="313"/>
      <c r="E82" s="313"/>
      <c r="F82" s="313"/>
      <c r="G82" s="313"/>
      <c r="H82" s="313"/>
    </row>
    <row r="83" spans="1:8" s="15" customFormat="1" ht="14.4">
      <c r="A83" s="16"/>
      <c r="B83" s="107" t="s">
        <v>982</v>
      </c>
      <c r="C83" s="391" t="s">
        <v>983</v>
      </c>
      <c r="D83" s="393">
        <f t="shared" ref="D83:G83" si="39">D7</f>
        <v>455420373236</v>
      </c>
      <c r="E83" s="393">
        <f t="shared" si="39"/>
        <v>461503344777</v>
      </c>
      <c r="F83" s="393">
        <f t="shared" si="39"/>
        <v>462572550234</v>
      </c>
      <c r="G83" s="393">
        <f t="shared" si="39"/>
        <v>544730874879</v>
      </c>
      <c r="H83" s="393">
        <f>H7</f>
        <v>544730874879</v>
      </c>
    </row>
    <row r="84" spans="1:8" ht="14.4">
      <c r="B84" s="299" t="s">
        <v>702</v>
      </c>
      <c r="C84" s="283"/>
      <c r="D84" s="293"/>
      <c r="E84" s="293"/>
      <c r="F84" s="293"/>
      <c r="G84" s="293"/>
      <c r="H84" s="293"/>
    </row>
    <row r="85" spans="1:8" s="38" customFormat="1" ht="14.4">
      <c r="A85" s="37"/>
      <c r="B85" s="310" t="s">
        <v>703</v>
      </c>
      <c r="C85" s="311" t="s">
        <v>677</v>
      </c>
      <c r="D85" s="312"/>
      <c r="E85" s="312" t="str">
        <f t="shared" ref="E85" si="40">IFERROR(E84/D84-1,"N/A")</f>
        <v>N/A</v>
      </c>
      <c r="F85" s="312" t="str">
        <f t="shared" ref="F85" si="41">IFERROR(F84/E84-1,"N/A")</f>
        <v>N/A</v>
      </c>
      <c r="G85" s="312" t="str">
        <f>IFERROR(G84/F84-1,"N/A")</f>
        <v>N/A</v>
      </c>
      <c r="H85" s="312" t="str">
        <f>IFERROR(H84/G84-1,"N/A")</f>
        <v>N/A</v>
      </c>
    </row>
    <row r="86" spans="1:8" s="7" customFormat="1" ht="14.4">
      <c r="A86" s="16"/>
      <c r="B86" s="171" t="s">
        <v>704</v>
      </c>
      <c r="C86" s="283"/>
      <c r="D86" s="293"/>
      <c r="E86" s="293"/>
      <c r="F86" s="293"/>
      <c r="G86" s="293"/>
      <c r="H86" s="293"/>
    </row>
    <row r="87" spans="1:8" s="38" customFormat="1" ht="14.4">
      <c r="A87" s="37"/>
      <c r="B87" s="310" t="s">
        <v>703</v>
      </c>
      <c r="C87" s="311" t="s">
        <v>677</v>
      </c>
      <c r="D87" s="312"/>
      <c r="E87" s="312" t="str">
        <f t="shared" ref="E87:G87" si="42">IFERROR(E86/D86-1,"N/A")</f>
        <v>N/A</v>
      </c>
      <c r="F87" s="312" t="str">
        <f t="shared" si="42"/>
        <v>N/A</v>
      </c>
      <c r="G87" s="312" t="str">
        <f t="shared" si="42"/>
        <v>N/A</v>
      </c>
      <c r="H87" s="312" t="str">
        <f>IFERROR(H86/G86-1,"N/A")</f>
        <v>N/A</v>
      </c>
    </row>
    <row r="88" spans="1:8" s="7" customFormat="1" ht="14.4">
      <c r="A88" s="16"/>
      <c r="B88" s="171"/>
      <c r="C88" s="281"/>
      <c r="D88" s="309"/>
      <c r="E88" s="309"/>
      <c r="F88" s="309"/>
      <c r="G88" s="309"/>
      <c r="H88" s="309"/>
    </row>
    <row r="89" spans="1:8" s="15" customFormat="1" ht="14.4">
      <c r="A89" s="16"/>
      <c r="B89" s="107" t="s">
        <v>705</v>
      </c>
      <c r="C89" s="391"/>
      <c r="D89" s="393">
        <f t="shared" ref="D89:G89" si="43">D75-D77-D83</f>
        <v>-469960035887</v>
      </c>
      <c r="E89" s="393">
        <f t="shared" si="43"/>
        <v>-1265168446661</v>
      </c>
      <c r="F89" s="393">
        <f t="shared" si="43"/>
        <v>-1504920884665</v>
      </c>
      <c r="G89" s="393">
        <f t="shared" si="43"/>
        <v>-1375455174372</v>
      </c>
      <c r="H89" s="393">
        <f>H75-H77-H83</f>
        <v>-762486964542</v>
      </c>
    </row>
    <row r="90" spans="1:8" s="7" customFormat="1" ht="14.4">
      <c r="A90" s="16"/>
      <c r="B90" s="300" t="s">
        <v>676</v>
      </c>
      <c r="C90" s="301" t="s">
        <v>677</v>
      </c>
      <c r="D90" s="314"/>
      <c r="E90" s="314">
        <f t="shared" ref="E90" si="44">IFERROR(E89/D89-1,"N/A")</f>
        <v>1.6920766662065807</v>
      </c>
      <c r="F90" s="314">
        <f t="shared" ref="F90" si="45">IFERROR(F89/E89-1,"N/A")</f>
        <v>0.18950238494861971</v>
      </c>
      <c r="G90" s="314">
        <f t="shared" ref="G90" si="46">IFERROR(G89/F89-1,"N/A")</f>
        <v>-8.6028250130783079E-2</v>
      </c>
      <c r="H90" s="314">
        <f>IFERROR(H89/G89-1,"N/A")</f>
        <v>-0.44564753635818533</v>
      </c>
    </row>
    <row r="91" spans="1:8" s="7" customFormat="1" ht="15" thickBot="1">
      <c r="A91" s="16"/>
      <c r="B91" s="285"/>
      <c r="C91" s="286"/>
      <c r="D91" s="294"/>
      <c r="E91" s="294"/>
      <c r="F91" s="294"/>
      <c r="G91" s="294"/>
      <c r="H91" s="294"/>
    </row>
    <row r="92" spans="1:8" ht="15" thickTop="1">
      <c r="B92" s="297" t="s">
        <v>706</v>
      </c>
      <c r="C92" s="298" t="s">
        <v>983</v>
      </c>
      <c r="D92" s="289">
        <f>'IP_IS Raw'!E9</f>
        <v>-1045382703416</v>
      </c>
      <c r="E92" s="289">
        <f>'IP_IS Raw'!F9</f>
        <v>-209645620562</v>
      </c>
      <c r="F92" s="289">
        <f>'IP_IS Raw'!G9</f>
        <v>-296480952992</v>
      </c>
      <c r="G92" s="289">
        <f>'IP_IS Raw'!H9</f>
        <v>-855243703997</v>
      </c>
      <c r="H92" s="289">
        <f>'IP_IS Raw'!I9</f>
        <v>-1424028369399</v>
      </c>
    </row>
    <row r="93" spans="1:8" s="39" customFormat="1" ht="14.4">
      <c r="A93" s="12"/>
      <c r="B93" s="315" t="s">
        <v>707</v>
      </c>
      <c r="C93" s="316" t="s">
        <v>983</v>
      </c>
      <c r="D93" s="317">
        <f t="shared" ref="D93:F93" si="47">D92-D94</f>
        <v>373798888110.13696</v>
      </c>
      <c r="E93" s="317">
        <f t="shared" si="47"/>
        <v>1323607653937.387</v>
      </c>
      <c r="F93" s="317">
        <f t="shared" si="47"/>
        <v>1456974620663.8179</v>
      </c>
      <c r="G93" s="317">
        <f>G92-G94</f>
        <v>1424608726753.21</v>
      </c>
      <c r="H93" s="317">
        <f>H92-H94</f>
        <v>-1424028369399</v>
      </c>
    </row>
    <row r="94" spans="1:8" ht="14.4">
      <c r="B94" s="295" t="s">
        <v>708</v>
      </c>
      <c r="C94" s="296" t="s">
        <v>983</v>
      </c>
      <c r="D94" s="290">
        <f t="shared" ref="D94:G94" si="48">SUM(D96:D100)*(-1)</f>
        <v>-1419181591526.137</v>
      </c>
      <c r="E94" s="290">
        <f t="shared" si="48"/>
        <v>-1533253274499.387</v>
      </c>
      <c r="F94" s="290">
        <f t="shared" si="48"/>
        <v>-1753455573655.8179</v>
      </c>
      <c r="G94" s="290">
        <f t="shared" si="48"/>
        <v>-2279852430750.21</v>
      </c>
      <c r="H94" s="290">
        <f>SUM(H96:H100)*(-1)</f>
        <v>0</v>
      </c>
    </row>
    <row r="95" spans="1:8" s="39" customFormat="1" ht="14.4">
      <c r="A95" s="12"/>
      <c r="B95" s="315" t="s">
        <v>709</v>
      </c>
      <c r="C95" s="316" t="s">
        <v>983</v>
      </c>
      <c r="D95" s="317">
        <f t="shared" ref="D95:E95" si="49">D96+D93</f>
        <v>512296394069.27393</v>
      </c>
      <c r="E95" s="317">
        <f t="shared" si="49"/>
        <v>1533447995544.7739</v>
      </c>
      <c r="F95" s="317">
        <f>F96+F93</f>
        <v>1631807900263.6357</v>
      </c>
      <c r="G95" s="317">
        <f>G96+G93</f>
        <v>1601414643685.4199</v>
      </c>
      <c r="H95" s="317">
        <f>H96+H93</f>
        <v>-1424028369399</v>
      </c>
    </row>
    <row r="96" spans="1:8" s="40" customFormat="1" ht="14.4">
      <c r="A96" s="37"/>
      <c r="B96" s="318" t="s">
        <v>710</v>
      </c>
      <c r="C96" s="319" t="s">
        <v>983</v>
      </c>
      <c r="D96" s="320">
        <f t="shared" ref="D96:F96" si="50">D103-D110-D118</f>
        <v>138497505959.13699</v>
      </c>
      <c r="E96" s="320">
        <f t="shared" si="50"/>
        <v>209840341607.38699</v>
      </c>
      <c r="F96" s="320">
        <f t="shared" si="50"/>
        <v>174833279599.81799</v>
      </c>
      <c r="G96" s="320">
        <f t="shared" ref="G96:H100" si="51">G103-G110-G118</f>
        <v>176805916932.20999</v>
      </c>
      <c r="H96" s="320">
        <f t="shared" si="51"/>
        <v>0</v>
      </c>
    </row>
    <row r="97" spans="1:8" ht="14.4">
      <c r="B97" s="171" t="s">
        <v>681</v>
      </c>
      <c r="C97" s="319" t="s">
        <v>983</v>
      </c>
      <c r="D97" s="290">
        <f t="shared" ref="D97:F97" si="52">D104-D111-D119</f>
        <v>286828460685</v>
      </c>
      <c r="E97" s="290">
        <f t="shared" si="52"/>
        <v>311382278820</v>
      </c>
      <c r="F97" s="290">
        <f t="shared" si="52"/>
        <v>368910249822</v>
      </c>
      <c r="G97" s="290">
        <f t="shared" si="51"/>
        <v>384763275501</v>
      </c>
      <c r="H97" s="290">
        <f t="shared" si="51"/>
        <v>0</v>
      </c>
    </row>
    <row r="98" spans="1:8" ht="14.4">
      <c r="B98" s="171" t="s">
        <v>682</v>
      </c>
      <c r="C98" s="319" t="s">
        <v>983</v>
      </c>
      <c r="D98" s="290">
        <f t="shared" ref="D98:F98" si="53">D105-D112-D120</f>
        <v>200434357266</v>
      </c>
      <c r="E98" s="290">
        <f t="shared" si="53"/>
        <v>201526522056</v>
      </c>
      <c r="F98" s="290">
        <f t="shared" si="53"/>
        <v>193367525445</v>
      </c>
      <c r="G98" s="290">
        <f t="shared" si="51"/>
        <v>254230428893</v>
      </c>
      <c r="H98" s="290">
        <f t="shared" si="51"/>
        <v>0</v>
      </c>
    </row>
    <row r="99" spans="1:8" ht="14.4">
      <c r="B99" s="171" t="s">
        <v>683</v>
      </c>
      <c r="C99" s="319" t="s">
        <v>983</v>
      </c>
      <c r="D99" s="290">
        <f t="shared" ref="D99:F99" si="54">D106-D113-D121</f>
        <v>513905619374</v>
      </c>
      <c r="E99" s="290">
        <f t="shared" si="54"/>
        <v>562566703743</v>
      </c>
      <c r="F99" s="290">
        <f t="shared" si="54"/>
        <v>808118369862</v>
      </c>
      <c r="G99" s="290">
        <f t="shared" si="51"/>
        <v>1198518123985</v>
      </c>
      <c r="H99" s="290">
        <f t="shared" si="51"/>
        <v>0</v>
      </c>
    </row>
    <row r="100" spans="1:8" ht="14.4">
      <c r="B100" s="171" t="s">
        <v>684</v>
      </c>
      <c r="C100" s="319" t="s">
        <v>983</v>
      </c>
      <c r="D100" s="290">
        <f t="shared" ref="D100:F100" si="55">D107-D114-D122</f>
        <v>279515648242</v>
      </c>
      <c r="E100" s="290">
        <f t="shared" si="55"/>
        <v>247937428273</v>
      </c>
      <c r="F100" s="290">
        <f t="shared" si="55"/>
        <v>208226148927</v>
      </c>
      <c r="G100" s="290">
        <f t="shared" si="51"/>
        <v>265534685439</v>
      </c>
      <c r="H100" s="290">
        <f t="shared" si="51"/>
        <v>0</v>
      </c>
    </row>
    <row r="101" spans="1:8" ht="14.4">
      <c r="B101" s="171"/>
      <c r="C101" s="281"/>
      <c r="D101" s="290"/>
      <c r="E101" s="290"/>
      <c r="F101" s="290"/>
      <c r="G101" s="290"/>
      <c r="H101" s="290"/>
    </row>
    <row r="102" spans="1:8" s="41" customFormat="1" ht="14.4">
      <c r="A102" s="34"/>
      <c r="B102" s="297" t="s">
        <v>711</v>
      </c>
      <c r="C102" s="298" t="s">
        <v>983</v>
      </c>
      <c r="D102" s="289">
        <f t="shared" ref="D102:G102" si="56">SUM(D103:D107)*(-1)</f>
        <v>-1419181591526</v>
      </c>
      <c r="E102" s="289">
        <f t="shared" si="56"/>
        <v>-1533253274499</v>
      </c>
      <c r="F102" s="289">
        <f t="shared" si="56"/>
        <v>-1753455573655</v>
      </c>
      <c r="G102" s="289">
        <f t="shared" si="56"/>
        <v>-2279852430746</v>
      </c>
      <c r="H102" s="289">
        <f>SUM(H103:H107)*(-1)</f>
        <v>0</v>
      </c>
    </row>
    <row r="103" spans="1:8" s="41" customFormat="1" ht="14.4">
      <c r="A103" s="34"/>
      <c r="B103" s="299" t="s">
        <v>680</v>
      </c>
      <c r="C103" s="283" t="s">
        <v>983</v>
      </c>
      <c r="D103" s="290">
        <f>'IP_Notes Raw'!E158</f>
        <v>138497505959</v>
      </c>
      <c r="E103" s="290">
        <f>'IP_Notes Raw'!F158</f>
        <v>209840341607</v>
      </c>
      <c r="F103" s="290">
        <f>'IP_Notes Raw'!G158</f>
        <v>174833279599</v>
      </c>
      <c r="G103" s="290">
        <f>'IP_Notes Raw'!H158</f>
        <v>176805916928</v>
      </c>
      <c r="H103" s="290">
        <f>'IP_Notes Raw'!I158</f>
        <v>0</v>
      </c>
    </row>
    <row r="104" spans="1:8" ht="14.4">
      <c r="B104" s="171" t="s">
        <v>681</v>
      </c>
      <c r="C104" s="283" t="s">
        <v>983</v>
      </c>
      <c r="D104" s="290">
        <f>'IP_Notes Raw'!E159</f>
        <v>286828460685</v>
      </c>
      <c r="E104" s="290">
        <f>'IP_Notes Raw'!F159</f>
        <v>311382278820</v>
      </c>
      <c r="F104" s="290">
        <f>'IP_Notes Raw'!G159</f>
        <v>368910249822</v>
      </c>
      <c r="G104" s="290">
        <f>'IP_Notes Raw'!H159</f>
        <v>384763275501</v>
      </c>
      <c r="H104" s="290">
        <f>'IP_Notes Raw'!I159</f>
        <v>0</v>
      </c>
    </row>
    <row r="105" spans="1:8" ht="14.4">
      <c r="B105" s="171" t="s">
        <v>682</v>
      </c>
      <c r="C105" s="283" t="s">
        <v>983</v>
      </c>
      <c r="D105" s="290">
        <f>'IP_Notes Raw'!E160</f>
        <v>200434357266</v>
      </c>
      <c r="E105" s="290">
        <f>'IP_Notes Raw'!F160</f>
        <v>201526522056</v>
      </c>
      <c r="F105" s="290">
        <f>'IP_Notes Raw'!G160</f>
        <v>193367525445</v>
      </c>
      <c r="G105" s="290">
        <f>'IP_Notes Raw'!H160</f>
        <v>254230428893</v>
      </c>
      <c r="H105" s="290">
        <f>'IP_Notes Raw'!I160</f>
        <v>0</v>
      </c>
    </row>
    <row r="106" spans="1:8" ht="14.4">
      <c r="B106" s="171" t="s">
        <v>683</v>
      </c>
      <c r="C106" s="283" t="s">
        <v>983</v>
      </c>
      <c r="D106" s="290">
        <f>'IP_Notes Raw'!E161</f>
        <v>513905619374</v>
      </c>
      <c r="E106" s="290">
        <f>'IP_Notes Raw'!F161</f>
        <v>562566703743</v>
      </c>
      <c r="F106" s="290">
        <f>'IP_Notes Raw'!G161</f>
        <v>808118369862</v>
      </c>
      <c r="G106" s="290">
        <f>'IP_Notes Raw'!H161</f>
        <v>1198518123985</v>
      </c>
      <c r="H106" s="290">
        <f>'IP_Notes Raw'!I161</f>
        <v>0</v>
      </c>
    </row>
    <row r="107" spans="1:8" ht="14.4">
      <c r="B107" s="171" t="s">
        <v>684</v>
      </c>
      <c r="C107" s="283" t="s">
        <v>983</v>
      </c>
      <c r="D107" s="290">
        <f>'IP_Notes Raw'!E162</f>
        <v>279515648242</v>
      </c>
      <c r="E107" s="290">
        <f>'IP_Notes Raw'!F162</f>
        <v>247937428273</v>
      </c>
      <c r="F107" s="290">
        <f>'IP_Notes Raw'!G162</f>
        <v>208226148927</v>
      </c>
      <c r="G107" s="290">
        <f>'IP_Notes Raw'!H162</f>
        <v>265534685439</v>
      </c>
      <c r="H107" s="290">
        <f>'IP_Notes Raw'!I162</f>
        <v>0</v>
      </c>
    </row>
    <row r="108" spans="1:8" ht="14.4">
      <c r="B108" s="171"/>
      <c r="C108" s="281"/>
      <c r="D108" s="290"/>
      <c r="E108" s="290"/>
      <c r="F108" s="290"/>
      <c r="G108" s="290"/>
      <c r="H108" s="290"/>
    </row>
    <row r="109" spans="1:8" s="41" customFormat="1" ht="14.4">
      <c r="A109" s="34"/>
      <c r="B109" s="297" t="s">
        <v>282</v>
      </c>
      <c r="C109" s="298" t="str">
        <f>C102</f>
        <v>(VND)</v>
      </c>
      <c r="D109" s="289">
        <f>'IP_IS Raw'!E15</f>
        <v>-86766850424</v>
      </c>
      <c r="E109" s="289">
        <f>'IP_IS Raw'!F15</f>
        <v>-20658752305</v>
      </c>
      <c r="F109" s="289">
        <f>'IP_IS Raw'!G15</f>
        <v>-14260496293</v>
      </c>
      <c r="G109" s="289">
        <f>'IP_IS Raw'!H15</f>
        <v>-26239808550</v>
      </c>
      <c r="H109" s="289">
        <f>'IP_IS Raw'!I15</f>
        <v>-39335239608</v>
      </c>
    </row>
    <row r="110" spans="1:8" s="41" customFormat="1" ht="14.4">
      <c r="A110" s="34"/>
      <c r="B110" s="299" t="s">
        <v>680</v>
      </c>
      <c r="C110" s="283" t="str">
        <f>C103</f>
        <v>(VND)</v>
      </c>
      <c r="D110" s="290">
        <v>-0.13700000000000001</v>
      </c>
      <c r="E110" s="290">
        <v>-0.38700000000000001</v>
      </c>
      <c r="F110" s="290">
        <v>-0.81799999999999995</v>
      </c>
      <c r="G110" s="290">
        <v>-4.21</v>
      </c>
      <c r="H110" s="290"/>
    </row>
    <row r="111" spans="1:8" ht="14.4">
      <c r="B111" s="171" t="s">
        <v>681</v>
      </c>
      <c r="C111" s="283" t="str">
        <f t="shared" ref="C111:C115" si="57">C104</f>
        <v>(VND)</v>
      </c>
      <c r="D111" s="290"/>
      <c r="E111" s="290"/>
      <c r="F111" s="290"/>
      <c r="G111" s="290"/>
      <c r="H111" s="290"/>
    </row>
    <row r="112" spans="1:8" ht="14.4">
      <c r="B112" s="171" t="s">
        <v>682</v>
      </c>
      <c r="C112" s="283" t="str">
        <f t="shared" si="57"/>
        <v>(VND)</v>
      </c>
      <c r="D112" s="290"/>
      <c r="E112" s="290"/>
      <c r="F112" s="290"/>
      <c r="G112" s="290"/>
      <c r="H112" s="290"/>
    </row>
    <row r="113" spans="1:14" ht="14.4">
      <c r="B113" s="171" t="s">
        <v>683</v>
      </c>
      <c r="C113" s="283" t="str">
        <f t="shared" si="57"/>
        <v>(VND)</v>
      </c>
      <c r="D113" s="290"/>
      <c r="E113" s="290"/>
      <c r="F113" s="290"/>
      <c r="G113" s="290"/>
      <c r="H113" s="290"/>
    </row>
    <row r="114" spans="1:14" ht="14.4">
      <c r="B114" s="171" t="s">
        <v>684</v>
      </c>
      <c r="C114" s="283" t="str">
        <f t="shared" si="57"/>
        <v>(VND)</v>
      </c>
      <c r="D114" s="290"/>
      <c r="E114" s="290"/>
      <c r="F114" s="290"/>
      <c r="G114" s="290"/>
      <c r="H114" s="290"/>
    </row>
    <row r="115" spans="1:14" ht="14.4">
      <c r="B115" s="171" t="s">
        <v>712</v>
      </c>
      <c r="C115" s="283">
        <f t="shared" si="57"/>
        <v>0</v>
      </c>
      <c r="D115" s="290"/>
      <c r="E115" s="290"/>
      <c r="F115" s="290"/>
      <c r="G115" s="290"/>
      <c r="H115" s="290"/>
      <c r="I115" s="41"/>
      <c r="J115" s="41"/>
      <c r="K115" s="41"/>
      <c r="L115" s="41"/>
      <c r="M115" s="41"/>
      <c r="N115" s="41"/>
    </row>
    <row r="116" spans="1:14" ht="14.4">
      <c r="B116" s="171"/>
      <c r="C116" s="281"/>
      <c r="D116" s="290"/>
      <c r="E116" s="290"/>
      <c r="F116" s="290"/>
      <c r="G116" s="290"/>
      <c r="H116" s="290"/>
    </row>
    <row r="117" spans="1:14" s="41" customFormat="1" ht="14.4">
      <c r="A117" s="34"/>
      <c r="B117" s="297" t="s">
        <v>713</v>
      </c>
      <c r="C117" s="298" t="str">
        <f>C109</f>
        <v>(VND)</v>
      </c>
      <c r="D117" s="289">
        <f>'IP_IS Raw'!E16</f>
        <v>-211115902487</v>
      </c>
      <c r="E117" s="289">
        <f>'IP_IS Raw'!F16</f>
        <v>-93384172422</v>
      </c>
      <c r="F117" s="289">
        <f>'IP_IS Raw'!G16</f>
        <v>-66900478155</v>
      </c>
      <c r="G117" s="289">
        <f>'IP_IS Raw'!H16</f>
        <v>-151633232794</v>
      </c>
      <c r="H117" s="289">
        <f>'IP_IS Raw'!I16</f>
        <v>-167762629718</v>
      </c>
    </row>
    <row r="118" spans="1:14" s="41" customFormat="1" ht="14.4">
      <c r="A118" s="34"/>
      <c r="B118" s="299" t="s">
        <v>680</v>
      </c>
      <c r="C118" s="283" t="str">
        <f>C110</f>
        <v>(VND)</v>
      </c>
      <c r="D118" s="290"/>
      <c r="E118" s="290"/>
      <c r="F118" s="290"/>
      <c r="G118" s="290"/>
      <c r="H118" s="290"/>
    </row>
    <row r="119" spans="1:14" ht="14.4">
      <c r="B119" s="171" t="s">
        <v>681</v>
      </c>
      <c r="C119" s="283" t="str">
        <f t="shared" ref="C119:C123" si="58">C111</f>
        <v>(VND)</v>
      </c>
      <c r="D119" s="290"/>
      <c r="E119" s="290"/>
      <c r="F119" s="290"/>
      <c r="G119" s="290"/>
      <c r="H119" s="290"/>
    </row>
    <row r="120" spans="1:14" ht="14.4">
      <c r="B120" s="171" t="s">
        <v>682</v>
      </c>
      <c r="C120" s="283" t="str">
        <f t="shared" si="58"/>
        <v>(VND)</v>
      </c>
      <c r="D120" s="290"/>
      <c r="E120" s="290"/>
      <c r="F120" s="290"/>
      <c r="G120" s="290"/>
      <c r="H120" s="290"/>
    </row>
    <row r="121" spans="1:14" ht="14.4">
      <c r="B121" s="171" t="s">
        <v>683</v>
      </c>
      <c r="C121" s="283" t="str">
        <f t="shared" si="58"/>
        <v>(VND)</v>
      </c>
      <c r="D121" s="290"/>
      <c r="E121" s="290"/>
      <c r="F121" s="290"/>
      <c r="G121" s="290"/>
      <c r="H121" s="290"/>
    </row>
    <row r="122" spans="1:14" ht="14.4">
      <c r="B122" s="171" t="s">
        <v>684</v>
      </c>
      <c r="C122" s="283" t="str">
        <f t="shared" si="58"/>
        <v>(VND)</v>
      </c>
      <c r="D122" s="290"/>
      <c r="E122" s="290"/>
      <c r="F122" s="290"/>
      <c r="G122" s="290"/>
      <c r="H122" s="290"/>
    </row>
    <row r="123" spans="1:14" ht="14.4">
      <c r="B123" s="171" t="s">
        <v>714</v>
      </c>
      <c r="C123" s="283">
        <f t="shared" si="58"/>
        <v>0</v>
      </c>
      <c r="D123" s="290"/>
      <c r="E123" s="290"/>
      <c r="F123" s="290"/>
      <c r="G123" s="290"/>
      <c r="H123" s="290"/>
      <c r="I123" s="41"/>
      <c r="J123" s="41"/>
      <c r="K123" s="41"/>
      <c r="L123" s="41"/>
      <c r="M123" s="41"/>
      <c r="N123" s="41"/>
    </row>
    <row r="124" spans="1:14" ht="14.4">
      <c r="B124" s="171"/>
      <c r="C124" s="281"/>
      <c r="D124" s="290"/>
      <c r="E124" s="290"/>
      <c r="F124" s="290"/>
      <c r="G124" s="290"/>
      <c r="H124" s="290"/>
    </row>
    <row r="125" spans="1:14" ht="14.4">
      <c r="B125" s="171" t="s">
        <v>715</v>
      </c>
      <c r="C125" s="283"/>
      <c r="D125" s="321"/>
      <c r="E125" s="321"/>
      <c r="F125" s="321"/>
      <c r="G125" s="321"/>
      <c r="H125" s="321"/>
    </row>
    <row r="126" spans="1:14" ht="14.4">
      <c r="A126" s="37"/>
      <c r="B126" s="310" t="s">
        <v>703</v>
      </c>
      <c r="C126" s="311" t="s">
        <v>677</v>
      </c>
      <c r="D126" s="322"/>
      <c r="E126" s="322" t="str">
        <f t="shared" ref="E126" si="59">IFERROR(E125/D125-1,"N/A")</f>
        <v>N/A</v>
      </c>
      <c r="F126" s="322" t="str">
        <f t="shared" ref="F126" si="60">IFERROR(F125/E125-1,"N/A")</f>
        <v>N/A</v>
      </c>
      <c r="G126" s="322" t="str">
        <f t="shared" ref="G126" si="61">IFERROR(G125/F125-1,"N/A")</f>
        <v>N/A</v>
      </c>
      <c r="H126" s="323"/>
    </row>
  </sheetData>
  <mergeCells count="2">
    <mergeCell ref="B2:B3"/>
    <mergeCell ref="C2:C3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24B9-C7DB-46E0-9424-BF482B78EE66}">
  <sheetPr>
    <tabColor rgb="FFFFFF00"/>
  </sheetPr>
  <dimension ref="A1:P183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13" sqref="H13"/>
    </sheetView>
  </sheetViews>
  <sheetFormatPr defaultColWidth="9.109375" defaultRowHeight="24.75" customHeight="1"/>
  <cols>
    <col min="1" max="1" width="4" style="7" customWidth="1"/>
    <col min="2" max="2" width="57.33203125" style="8" bestFit="1" customWidth="1"/>
    <col min="3" max="3" width="15.44140625" style="28" bestFit="1" customWidth="1"/>
    <col min="4" max="4" width="8.77734375" style="9" bestFit="1" customWidth="1"/>
    <col min="5" max="6" width="7.21875" style="9" bestFit="1" customWidth="1"/>
    <col min="7" max="7" width="8.77734375" style="9" bestFit="1" customWidth="1"/>
    <col min="8" max="8" width="8.77734375" style="30" bestFit="1" customWidth="1"/>
    <col min="9" max="11" width="9.5546875" style="29" bestFit="1" customWidth="1"/>
    <col min="12" max="14" width="8.77734375" style="29" bestFit="1" customWidth="1"/>
    <col min="15" max="17" width="9.109375" style="9"/>
    <col min="18" max="18" width="10" style="9" bestFit="1" customWidth="1"/>
    <col min="19" max="19" width="9.6640625" style="9" bestFit="1" customWidth="1"/>
    <col min="20" max="16384" width="9.109375" style="9"/>
  </cols>
  <sheetData>
    <row r="1" spans="1:14" s="7" customFormat="1" ht="14.4">
      <c r="B1" s="65"/>
      <c r="C1" s="66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s="7" customFormat="1" ht="18">
      <c r="B2" s="164" t="s">
        <v>994</v>
      </c>
      <c r="C2" s="261"/>
      <c r="D2" s="164"/>
      <c r="E2" s="164"/>
      <c r="F2" s="164"/>
      <c r="G2" s="388">
        <v>45291</v>
      </c>
      <c r="H2" s="388">
        <f>DATE(YEAR(G2),MONTH(G2)+13,0)</f>
        <v>45657</v>
      </c>
      <c r="I2" s="389">
        <f t="shared" ref="I2:N2" si="0">DATE(YEAR(H2),MONTH(H2)+13,0)</f>
        <v>46022</v>
      </c>
      <c r="J2" s="389">
        <f t="shared" si="0"/>
        <v>46387</v>
      </c>
      <c r="K2" s="389">
        <f t="shared" si="0"/>
        <v>46752</v>
      </c>
      <c r="L2" s="389">
        <f t="shared" si="0"/>
        <v>47118</v>
      </c>
      <c r="M2" s="389">
        <f t="shared" si="0"/>
        <v>47483</v>
      </c>
      <c r="N2" s="389">
        <f t="shared" si="0"/>
        <v>47848</v>
      </c>
    </row>
    <row r="3" spans="1:14" s="7" customFormat="1" ht="15" thickBot="1">
      <c r="B3" s="135" t="s">
        <v>995</v>
      </c>
      <c r="C3" s="136" t="s">
        <v>671</v>
      </c>
      <c r="D3" s="137">
        <f>OD_IS!D3</f>
        <v>2021</v>
      </c>
      <c r="E3" s="137">
        <f>OD_IS!E3</f>
        <v>2022</v>
      </c>
      <c r="F3" s="137">
        <f>OD_IS!F3</f>
        <v>2023</v>
      </c>
      <c r="G3" s="331">
        <f>OD_IS!G3</f>
        <v>2024</v>
      </c>
      <c r="H3" s="331">
        <f>OD_IS!H3</f>
        <v>2025</v>
      </c>
      <c r="I3" s="137">
        <f>OD_IS!I3</f>
        <v>2026</v>
      </c>
      <c r="J3" s="137">
        <f>OD_IS!J3</f>
        <v>2027</v>
      </c>
      <c r="K3" s="137">
        <f>OD_IS!K3</f>
        <v>2028</v>
      </c>
      <c r="L3" s="137">
        <f>OD_IS!L3</f>
        <v>2029</v>
      </c>
      <c r="M3" s="137">
        <f>OD_IS!M3</f>
        <v>2030</v>
      </c>
      <c r="N3" s="137">
        <f>OD_IS!N3</f>
        <v>2031</v>
      </c>
    </row>
    <row r="4" spans="1:14" s="47" customFormat="1" ht="21">
      <c r="B4" s="107" t="s">
        <v>717</v>
      </c>
      <c r="C4" s="394"/>
      <c r="D4" s="107"/>
      <c r="E4" s="107"/>
      <c r="F4" s="107"/>
      <c r="G4" s="395"/>
      <c r="H4" s="395"/>
      <c r="I4" s="107"/>
      <c r="J4" s="107"/>
      <c r="K4" s="107"/>
      <c r="L4" s="107"/>
      <c r="M4" s="107"/>
      <c r="N4" s="67"/>
    </row>
    <row r="5" spans="1:14" s="7" customFormat="1" ht="14.4">
      <c r="B5" s="107" t="s">
        <v>1012</v>
      </c>
      <c r="C5" s="108" t="s">
        <v>718</v>
      </c>
      <c r="D5" s="117"/>
      <c r="E5" s="117"/>
      <c r="F5" s="117"/>
      <c r="G5" s="118"/>
      <c r="H5" s="118"/>
      <c r="I5" s="166"/>
      <c r="J5" s="166"/>
      <c r="K5" s="166"/>
      <c r="L5" s="166"/>
      <c r="M5" s="166"/>
      <c r="N5" s="166"/>
    </row>
    <row r="6" spans="1:14" s="20" customFormat="1" ht="14.4">
      <c r="B6" s="332" t="s">
        <v>664</v>
      </c>
      <c r="C6" s="333" t="s">
        <v>983</v>
      </c>
      <c r="D6" s="334">
        <f>OD_IS!D4</f>
        <v>1079507793378</v>
      </c>
      <c r="E6" s="334">
        <f>OD_IS!E4</f>
        <v>314124306314</v>
      </c>
      <c r="F6" s="334">
        <f>OD_IS!F4</f>
        <v>411666784900</v>
      </c>
      <c r="G6" s="335">
        <f>OD_IS!G4</f>
        <v>1026094868172</v>
      </c>
      <c r="H6" s="335">
        <f>OD_IS!H4</f>
        <v>1639063078002</v>
      </c>
      <c r="I6" s="336">
        <f t="shared" ref="I6:N6" si="1">H6*(1+I7)</f>
        <v>2130782001402.6001</v>
      </c>
      <c r="J6" s="336">
        <f t="shared" si="1"/>
        <v>2599554041711.1719</v>
      </c>
      <c r="K6" s="336">
        <f t="shared" si="1"/>
        <v>2989487147967.8477</v>
      </c>
      <c r="L6" s="336">
        <f t="shared" si="1"/>
        <v>3318330734244.311</v>
      </c>
      <c r="M6" s="336">
        <f t="shared" si="1"/>
        <v>3583797192983.856</v>
      </c>
      <c r="N6" s="336">
        <f t="shared" si="1"/>
        <v>3762987052633.0488</v>
      </c>
    </row>
    <row r="7" spans="1:14" s="43" customFormat="1" ht="14.4">
      <c r="A7" s="42"/>
      <c r="B7" s="337" t="s">
        <v>1013</v>
      </c>
      <c r="C7" s="96"/>
      <c r="D7" s="338"/>
      <c r="E7" s="338">
        <f t="shared" ref="E7:G7" si="2">E6/D6-1</f>
        <v>-0.70901154374157782</v>
      </c>
      <c r="F7" s="338">
        <f t="shared" si="2"/>
        <v>0.31052190685459435</v>
      </c>
      <c r="G7" s="339">
        <f t="shared" si="2"/>
        <v>1.4925374254356076</v>
      </c>
      <c r="H7" s="339">
        <f>H6/G6-1</f>
        <v>0.59737966619208427</v>
      </c>
      <c r="I7" s="662">
        <v>0.3</v>
      </c>
      <c r="J7" s="662">
        <v>0.22</v>
      </c>
      <c r="K7" s="662">
        <v>0.15</v>
      </c>
      <c r="L7" s="662">
        <v>0.11</v>
      </c>
      <c r="M7" s="662">
        <v>0.08</v>
      </c>
      <c r="N7" s="662">
        <v>0.05</v>
      </c>
    </row>
    <row r="8" spans="1:14" s="45" customFormat="1" ht="14.4">
      <c r="A8" s="44"/>
      <c r="B8" s="337" t="s">
        <v>1014</v>
      </c>
      <c r="C8" s="96" t="s">
        <v>677</v>
      </c>
      <c r="D8" s="340">
        <f>-OD_IS!D5/OD_IS!D4</f>
        <v>0.96838828754055062</v>
      </c>
      <c r="E8" s="340">
        <f>-OD_IS!E5/OD_IS!E4</f>
        <v>0.66739700286814907</v>
      </c>
      <c r="F8" s="340">
        <f>-OD_IS!F5/OD_IS!F4</f>
        <v>0.72019644009904671</v>
      </c>
      <c r="G8" s="341">
        <f>-OD_IS!G5/OD_IS!G4</f>
        <v>0.83349379333767326</v>
      </c>
      <c r="H8" s="341">
        <f>-OD_IS!H5/OD_IS!H4</f>
        <v>0.86880632509572175</v>
      </c>
      <c r="I8" s="663">
        <v>0.87</v>
      </c>
      <c r="J8" s="663">
        <v>0.86</v>
      </c>
      <c r="K8" s="663">
        <v>0.84</v>
      </c>
      <c r="L8" s="663">
        <v>0.82</v>
      </c>
      <c r="M8" s="663">
        <v>0.81</v>
      </c>
      <c r="N8" s="663">
        <v>0.81</v>
      </c>
    </row>
    <row r="9" spans="1:14" s="45" customFormat="1" ht="14.4">
      <c r="A9" s="44"/>
      <c r="B9" s="337" t="s">
        <v>1015</v>
      </c>
      <c r="C9" s="96" t="s">
        <v>677</v>
      </c>
      <c r="D9" s="340">
        <f>-OD_IS!D7/OD_IS!D4</f>
        <v>8.0376307569293995E-2</v>
      </c>
      <c r="E9" s="340">
        <f>-OD_IS!E7/OD_IS!E4</f>
        <v>6.5766169283154499E-2</v>
      </c>
      <c r="F9" s="340">
        <f>-OD_IS!F7/OD_IS!F4</f>
        <v>3.4640871734318054E-2</v>
      </c>
      <c r="G9" s="341">
        <f>-OD_IS!G7/OD_IS!G4</f>
        <v>2.557249759639333E-2</v>
      </c>
      <c r="H9" s="341">
        <f>-OD_IS!H7/OD_IS!H4</f>
        <v>2.3998612460936663E-2</v>
      </c>
      <c r="I9" s="342">
        <v>2.5000000000000001E-2</v>
      </c>
      <c r="J9" s="342">
        <v>2.5000000000000001E-2</v>
      </c>
      <c r="K9" s="342">
        <v>2.5000000000000001E-2</v>
      </c>
      <c r="L9" s="342">
        <v>2.5000000000000001E-2</v>
      </c>
      <c r="M9" s="342">
        <v>2.5000000000000001E-2</v>
      </c>
      <c r="N9" s="342">
        <v>2.5000000000000001E-2</v>
      </c>
    </row>
    <row r="10" spans="1:14" s="20" customFormat="1" ht="14.4">
      <c r="B10" s="343" t="s">
        <v>1016</v>
      </c>
      <c r="C10" s="96" t="s">
        <v>677</v>
      </c>
      <c r="D10" s="344">
        <f>-OD_IS!D8/OD_IS!D4</f>
        <v>0.19556681645287183</v>
      </c>
      <c r="E10" s="344">
        <f>-OD_IS!E8/OD_IS!E4</f>
        <v>0.29728413416264826</v>
      </c>
      <c r="F10" s="344">
        <f>-OD_IS!F8/OD_IS!F4</f>
        <v>0.16251123629333156</v>
      </c>
      <c r="G10" s="345">
        <f>-OD_IS!G8/OD_IS!G4</f>
        <v>0.14777701116870059</v>
      </c>
      <c r="H10" s="345">
        <f>-OD_IS!H8/OD_IS!H4</f>
        <v>0.10235275992093044</v>
      </c>
      <c r="I10" s="664">
        <v>0.1</v>
      </c>
      <c r="J10" s="664">
        <v>9.8000000000000004E-2</v>
      </c>
      <c r="K10" s="664">
        <v>9.5000000000000001E-2</v>
      </c>
      <c r="L10" s="664">
        <v>9.2999999999999999E-2</v>
      </c>
      <c r="M10" s="664">
        <v>0.09</v>
      </c>
      <c r="N10" s="664">
        <v>0.09</v>
      </c>
    </row>
    <row r="11" spans="1:14" s="43" customFormat="1" ht="14.4">
      <c r="A11" s="42"/>
      <c r="B11" s="337" t="s">
        <v>1282</v>
      </c>
      <c r="C11" s="96" t="s">
        <v>673</v>
      </c>
      <c r="D11" s="340">
        <f>OD_CF!D6/OD_IS!D4</f>
        <v>0.18567198726634482</v>
      </c>
      <c r="E11" s="340">
        <f>OD_CF!E6/OD_IS!E4</f>
        <v>0.64155023347525753</v>
      </c>
      <c r="F11" s="340">
        <f>OD_CF!F6/OD_IS!F4</f>
        <v>0.46971855038528759</v>
      </c>
      <c r="G11" s="341">
        <f>OD_CF!G6/OD_IS!G4</f>
        <v>0.24776503301874464</v>
      </c>
      <c r="H11" s="341">
        <f>OD_CF!H6/OD_IS!H4</f>
        <v>0</v>
      </c>
      <c r="I11" s="665">
        <v>250</v>
      </c>
      <c r="J11" s="665">
        <f>I11*1.05</f>
        <v>262.5</v>
      </c>
      <c r="K11" s="665">
        <f>J11*1.05</f>
        <v>275.625</v>
      </c>
      <c r="L11" s="665">
        <f>K11*1.05</f>
        <v>289.40625</v>
      </c>
      <c r="M11" s="665">
        <f>L11*1.05</f>
        <v>303.87656250000003</v>
      </c>
      <c r="N11" s="665">
        <f>M11*1.05</f>
        <v>319.07039062500007</v>
      </c>
    </row>
    <row r="12" spans="1:14" s="45" customFormat="1" ht="14.4">
      <c r="A12" s="44"/>
      <c r="B12" s="337" t="s">
        <v>1017</v>
      </c>
      <c r="C12" s="96" t="s">
        <v>677</v>
      </c>
      <c r="D12" s="340">
        <f>OD_IS!D10/OD_IS!D4</f>
        <v>0.39263204137571711</v>
      </c>
      <c r="E12" s="340">
        <f>OD_IS!E10/OD_IS!E4</f>
        <v>0.15070590606152695</v>
      </c>
      <c r="F12" s="340">
        <f>OD_IS!F10/OD_IS!F4</f>
        <v>0.10587786840900411</v>
      </c>
      <c r="G12" s="341">
        <f>OD_IS!G10/OD_IS!G4</f>
        <v>0.18702608585781516</v>
      </c>
      <c r="H12" s="341">
        <f>OD_IS!H10/OD_IS!H4</f>
        <v>7.3425595873164523E-2</v>
      </c>
      <c r="I12" s="663">
        <v>0.06</v>
      </c>
      <c r="J12" s="663">
        <v>0.05</v>
      </c>
      <c r="K12" s="663">
        <v>0.04</v>
      </c>
      <c r="L12" s="663">
        <v>3.5000000000000003E-2</v>
      </c>
      <c r="M12" s="663">
        <v>3.5000000000000003E-2</v>
      </c>
      <c r="N12" s="663">
        <v>3.5000000000000003E-2</v>
      </c>
    </row>
    <row r="13" spans="1:14" s="7" customFormat="1" ht="14.4">
      <c r="B13" s="343" t="s">
        <v>780</v>
      </c>
      <c r="C13" s="84" t="s">
        <v>677</v>
      </c>
      <c r="D13" s="348">
        <f>-OD_IS!D19/OD_IS!D16</f>
        <v>0.69496304912835316</v>
      </c>
      <c r="E13" s="348">
        <f>-OD_IS!E19/OD_IS!E16</f>
        <v>0.1391716023996622</v>
      </c>
      <c r="F13" s="348">
        <f>-OD_IS!F19/OD_IS!F16</f>
        <v>8.3154086582282988E-2</v>
      </c>
      <c r="G13" s="349">
        <f>-OD_IS!G19/OD_IS!G16</f>
        <v>-0.10081373709371523</v>
      </c>
      <c r="H13" s="349">
        <f>-OD_IS!H19/OD_IS!H16</f>
        <v>0.17342221488154108</v>
      </c>
      <c r="I13" s="350">
        <f>OD_Valuation!$C$11</f>
        <v>0.2</v>
      </c>
      <c r="J13" s="350">
        <f>OD_Valuation!$C$11</f>
        <v>0.2</v>
      </c>
      <c r="K13" s="350">
        <f>OD_Valuation!$C$11</f>
        <v>0.2</v>
      </c>
      <c r="L13" s="350">
        <f>OD_Valuation!$C$11</f>
        <v>0.2</v>
      </c>
      <c r="M13" s="350">
        <f>OD_Valuation!$C$11</f>
        <v>0.2</v>
      </c>
      <c r="N13" s="350">
        <f>OD_Valuation!$C$11</f>
        <v>0.2</v>
      </c>
    </row>
    <row r="14" spans="1:14" s="45" customFormat="1" ht="14.4">
      <c r="A14" s="44"/>
      <c r="B14" s="337" t="s">
        <v>719</v>
      </c>
      <c r="C14" s="96" t="s">
        <v>677</v>
      </c>
      <c r="D14" s="340"/>
      <c r="E14" s="340"/>
      <c r="F14" s="340"/>
      <c r="G14" s="341"/>
      <c r="H14" s="341"/>
      <c r="I14" s="351"/>
      <c r="J14" s="351"/>
      <c r="K14" s="351"/>
      <c r="L14" s="351"/>
      <c r="M14" s="351"/>
      <c r="N14" s="351"/>
    </row>
    <row r="15" spans="1:14" s="45" customFormat="1" ht="14.4">
      <c r="A15" s="44"/>
      <c r="B15" s="324" t="s">
        <v>1018</v>
      </c>
      <c r="C15" s="325" t="s">
        <v>677</v>
      </c>
      <c r="D15" s="326"/>
      <c r="E15" s="326"/>
      <c r="F15" s="326"/>
      <c r="G15" s="327"/>
      <c r="H15" s="327"/>
      <c r="I15" s="328"/>
      <c r="J15" s="328"/>
      <c r="K15" s="328"/>
      <c r="L15" s="328"/>
      <c r="M15" s="328"/>
      <c r="N15" s="328"/>
    </row>
    <row r="16" spans="1:14" s="7" customFormat="1" ht="14.4">
      <c r="B16" s="343" t="s">
        <v>1019</v>
      </c>
      <c r="C16" s="96" t="s">
        <v>868</v>
      </c>
      <c r="D16" s="352">
        <f>365*OD_BS!D8/OD_IS!D4</f>
        <v>358.2544944286102</v>
      </c>
      <c r="E16" s="352">
        <f>365*OD_BS!E8/OD_IS!E4</f>
        <v>628.9655918042356</v>
      </c>
      <c r="F16" s="352">
        <f>365*OD_BS!F8/OD_IS!F4</f>
        <v>749.56090749422765</v>
      </c>
      <c r="G16" s="353">
        <f>365*OD_BS!G8/OD_IS!G4</f>
        <v>391.97605149476306</v>
      </c>
      <c r="H16" s="353">
        <f>365*OD_BS!H8/OD_IS!H4</f>
        <v>290.65262178342698</v>
      </c>
      <c r="I16" s="354">
        <v>120</v>
      </c>
      <c r="J16" s="354">
        <v>100</v>
      </c>
      <c r="K16" s="354">
        <v>90</v>
      </c>
      <c r="L16" s="354">
        <v>80</v>
      </c>
      <c r="M16" s="354">
        <v>80</v>
      </c>
      <c r="N16" s="354">
        <v>80</v>
      </c>
    </row>
    <row r="17" spans="1:14" s="7" customFormat="1" ht="14.4">
      <c r="B17" s="95" t="s">
        <v>1020</v>
      </c>
      <c r="C17" s="84" t="s">
        <v>868</v>
      </c>
      <c r="D17" s="355">
        <f>-365*OD_BS!D9/OD_IS!D5</f>
        <v>10.727246315311824</v>
      </c>
      <c r="E17" s="355">
        <f>-365*OD_BS!E9/OD_IS!E5</f>
        <v>27.005171208385338</v>
      </c>
      <c r="F17" s="355">
        <f>-365*OD_BS!F9/OD_IS!F5</f>
        <v>35.909699952064976</v>
      </c>
      <c r="G17" s="356">
        <f>-365*OD_BS!G9/OD_IS!G5</f>
        <v>17.414651591708466</v>
      </c>
      <c r="H17" s="356">
        <f>-365*OD_BS!H9/OD_IS!H5</f>
        <v>25.081931167080079</v>
      </c>
      <c r="I17" s="354">
        <f t="shared" ref="I17:N17" si="3">AVERAGE($G17:$H17)</f>
        <v>21.248291379394274</v>
      </c>
      <c r="J17" s="354">
        <f t="shared" si="3"/>
        <v>21.248291379394274</v>
      </c>
      <c r="K17" s="354">
        <f t="shared" si="3"/>
        <v>21.248291379394274</v>
      </c>
      <c r="L17" s="354">
        <f t="shared" si="3"/>
        <v>21.248291379394274</v>
      </c>
      <c r="M17" s="354">
        <f t="shared" si="3"/>
        <v>21.248291379394274</v>
      </c>
      <c r="N17" s="354">
        <f t="shared" si="3"/>
        <v>21.248291379394274</v>
      </c>
    </row>
    <row r="18" spans="1:14" s="20" customFormat="1" ht="14.4">
      <c r="B18" s="343" t="s">
        <v>1021</v>
      </c>
      <c r="C18" s="96" t="s">
        <v>868</v>
      </c>
      <c r="D18" s="357">
        <f>-365*OD_BS!D20/OD_IS!D5</f>
        <v>30.490020435048418</v>
      </c>
      <c r="E18" s="357">
        <f>-365*OD_BS!E20/OD_IS!E5</f>
        <v>144.82228084891483</v>
      </c>
      <c r="F18" s="357">
        <f>-365*OD_BS!F20/OD_IS!F5</f>
        <v>120.83704577235252</v>
      </c>
      <c r="G18" s="358">
        <f>-365*OD_BS!G20/OD_IS!G5</f>
        <v>58.720838002247561</v>
      </c>
      <c r="H18" s="358">
        <f>-365*OD_BS!H20/OD_IS!H5</f>
        <v>38.214938285398894</v>
      </c>
      <c r="I18" s="359">
        <f t="shared" ref="I18:N18" si="4">$H18</f>
        <v>38.214938285398894</v>
      </c>
      <c r="J18" s="359">
        <f t="shared" si="4"/>
        <v>38.214938285398894</v>
      </c>
      <c r="K18" s="359">
        <f t="shared" si="4"/>
        <v>38.214938285398894</v>
      </c>
      <c r="L18" s="359">
        <f t="shared" si="4"/>
        <v>38.214938285398894</v>
      </c>
      <c r="M18" s="359">
        <f t="shared" si="4"/>
        <v>38.214938285398894</v>
      </c>
      <c r="N18" s="359">
        <f t="shared" si="4"/>
        <v>38.214938285398894</v>
      </c>
    </row>
    <row r="19" spans="1:14" s="43" customFormat="1" ht="14.4">
      <c r="A19" s="42"/>
      <c r="B19" s="337" t="s">
        <v>1022</v>
      </c>
      <c r="C19" s="96" t="s">
        <v>677</v>
      </c>
      <c r="D19" s="340">
        <f>OD_BS!D10/OD_IS!D4</f>
        <v>3.2494183200136653E-2</v>
      </c>
      <c r="E19" s="340">
        <f>OD_BS!E10/OD_IS!E4</f>
        <v>0.12678959267860052</v>
      </c>
      <c r="F19" s="340">
        <f>OD_BS!F10/OD_IS!F4</f>
        <v>0.15639913735969715</v>
      </c>
      <c r="G19" s="341">
        <f>OD_BS!G10/OD_IS!G4</f>
        <v>2.4467046759258978E-2</v>
      </c>
      <c r="H19" s="341">
        <f>OD_BS!H10/OD_IS!H4</f>
        <v>9.0024145849144643E-3</v>
      </c>
      <c r="I19" s="347">
        <f t="shared" ref="I19:N20" si="5">AVERAGE($G19:$H19)</f>
        <v>1.6734730672086723E-2</v>
      </c>
      <c r="J19" s="347">
        <f t="shared" si="5"/>
        <v>1.6734730672086723E-2</v>
      </c>
      <c r="K19" s="347">
        <f t="shared" si="5"/>
        <v>1.6734730672086723E-2</v>
      </c>
      <c r="L19" s="347">
        <f t="shared" si="5"/>
        <v>1.6734730672086723E-2</v>
      </c>
      <c r="M19" s="347">
        <f t="shared" si="5"/>
        <v>1.6734730672086723E-2</v>
      </c>
      <c r="N19" s="347">
        <f t="shared" si="5"/>
        <v>1.6734730672086723E-2</v>
      </c>
    </row>
    <row r="20" spans="1:14" s="7" customFormat="1" ht="14.4">
      <c r="B20" s="343" t="s">
        <v>1023</v>
      </c>
      <c r="C20" s="96" t="s">
        <v>677</v>
      </c>
      <c r="D20" s="360">
        <f>OD_BS!D22/OD_IS!D4</f>
        <v>0.17175569223433698</v>
      </c>
      <c r="E20" s="360">
        <f>OD_BS!E22/OD_IS!E4</f>
        <v>0.43930454664039392</v>
      </c>
      <c r="F20" s="360">
        <f>OD_BS!F22/OD_IS!F4</f>
        <v>0.33793800713796668</v>
      </c>
      <c r="G20" s="361">
        <f>OD_BS!G22/OD_IS!G4</f>
        <v>0.29045090745745983</v>
      </c>
      <c r="H20" s="361">
        <f>OD_BS!H22/OD_IS!H4</f>
        <v>0.10820902252413717</v>
      </c>
      <c r="I20" s="342">
        <f t="shared" si="5"/>
        <v>0.1993299649907985</v>
      </c>
      <c r="J20" s="342">
        <f t="shared" si="5"/>
        <v>0.1993299649907985</v>
      </c>
      <c r="K20" s="342">
        <f t="shared" si="5"/>
        <v>0.1993299649907985</v>
      </c>
      <c r="L20" s="342">
        <f t="shared" si="5"/>
        <v>0.1993299649907985</v>
      </c>
      <c r="M20" s="342">
        <f t="shared" si="5"/>
        <v>0.1993299649907985</v>
      </c>
      <c r="N20" s="342">
        <f t="shared" si="5"/>
        <v>0.1993299649907985</v>
      </c>
    </row>
    <row r="21" spans="1:14" s="20" customFormat="1" ht="14.4">
      <c r="B21" s="343" t="s">
        <v>1024</v>
      </c>
      <c r="C21" s="96" t="s">
        <v>677</v>
      </c>
      <c r="D21" s="344">
        <f>-OD_CF!D10/OD_IS!D4</f>
        <v>2.6974282667178227E-3</v>
      </c>
      <c r="E21" s="344">
        <f>-OD_CF!E10/OD_IS!E4</f>
        <v>8.3435411947400473E-4</v>
      </c>
      <c r="F21" s="344">
        <f>-OD_CF!F10/OD_IS!F4</f>
        <v>0.20683058886978958</v>
      </c>
      <c r="G21" s="345">
        <f>-OD_CF!G10/OD_IS!G4</f>
        <v>0.53887787072073434</v>
      </c>
      <c r="H21" s="345">
        <f>-OD_CF!H10/OD_IS!H4</f>
        <v>5.9924102507835364E-2</v>
      </c>
      <c r="I21" s="346">
        <v>0.06</v>
      </c>
      <c r="J21" s="346">
        <v>0.05</v>
      </c>
      <c r="K21" s="346">
        <v>0.04</v>
      </c>
      <c r="L21" s="346">
        <v>0.04</v>
      </c>
      <c r="M21" s="346">
        <v>0.04</v>
      </c>
      <c r="N21" s="346">
        <v>0.04</v>
      </c>
    </row>
    <row r="22" spans="1:14" s="43" customFormat="1" ht="14.4">
      <c r="A22" s="42"/>
      <c r="B22" s="337" t="s">
        <v>703</v>
      </c>
      <c r="C22" s="96" t="s">
        <v>677</v>
      </c>
      <c r="D22" s="340"/>
      <c r="E22" s="340"/>
      <c r="F22" s="340"/>
      <c r="G22" s="341"/>
      <c r="H22" s="341"/>
      <c r="I22" s="362"/>
      <c r="J22" s="362"/>
      <c r="K22" s="362"/>
      <c r="L22" s="362"/>
      <c r="M22" s="362"/>
      <c r="N22" s="362"/>
    </row>
    <row r="23" spans="1:14" s="7" customFormat="1" ht="14.4">
      <c r="B23" s="329" t="s">
        <v>1025</v>
      </c>
      <c r="C23" s="325"/>
      <c r="D23" s="269"/>
      <c r="E23" s="269"/>
      <c r="F23" s="269"/>
      <c r="G23" s="330"/>
      <c r="H23" s="330"/>
      <c r="I23" s="328"/>
      <c r="J23" s="328"/>
      <c r="K23" s="328"/>
      <c r="L23" s="328"/>
      <c r="M23" s="328"/>
      <c r="N23" s="328"/>
    </row>
    <row r="24" spans="1:14" s="7" customFormat="1" ht="14.4">
      <c r="B24" s="95" t="s">
        <v>1026</v>
      </c>
      <c r="C24" s="84" t="s">
        <v>983</v>
      </c>
      <c r="D24" s="363">
        <f>OD_BS!D21</f>
        <v>130796216812</v>
      </c>
      <c r="E24" s="363">
        <f>OD_BS!E21</f>
        <v>94317807400</v>
      </c>
      <c r="F24" s="363">
        <f>OD_BS!F21</f>
        <v>171352690912</v>
      </c>
      <c r="G24" s="364">
        <f>OD_BS!G21</f>
        <v>527364096445</v>
      </c>
      <c r="H24" s="364">
        <f>OD_BS!H21</f>
        <v>304271257481</v>
      </c>
      <c r="I24" s="365">
        <f t="shared" ref="I24:N25" si="6">$H24</f>
        <v>304271257481</v>
      </c>
      <c r="J24" s="365">
        <f t="shared" si="6"/>
        <v>304271257481</v>
      </c>
      <c r="K24" s="365">
        <f t="shared" si="6"/>
        <v>304271257481</v>
      </c>
      <c r="L24" s="365">
        <f t="shared" si="6"/>
        <v>304271257481</v>
      </c>
      <c r="M24" s="365">
        <f t="shared" si="6"/>
        <v>304271257481</v>
      </c>
      <c r="N24" s="365">
        <f t="shared" si="6"/>
        <v>304271257481</v>
      </c>
    </row>
    <row r="25" spans="1:14" s="22" customFormat="1" ht="14.4">
      <c r="B25" s="343" t="s">
        <v>1027</v>
      </c>
      <c r="C25" s="84" t="s">
        <v>983</v>
      </c>
      <c r="D25" s="363">
        <f>OD_BS!D24</f>
        <v>71000000000</v>
      </c>
      <c r="E25" s="363">
        <f>OD_BS!E24</f>
        <v>1000000000</v>
      </c>
      <c r="F25" s="363">
        <f>OD_BS!F24</f>
        <v>39014432856</v>
      </c>
      <c r="G25" s="364">
        <f>OD_BS!G24</f>
        <v>50006060793</v>
      </c>
      <c r="H25" s="364">
        <f>OD_BS!H24</f>
        <v>36866802037</v>
      </c>
      <c r="I25" s="365">
        <f t="shared" si="6"/>
        <v>36866802037</v>
      </c>
      <c r="J25" s="365">
        <f t="shared" si="6"/>
        <v>36866802037</v>
      </c>
      <c r="K25" s="365">
        <f t="shared" si="6"/>
        <v>36866802037</v>
      </c>
      <c r="L25" s="365">
        <f t="shared" si="6"/>
        <v>36866802037</v>
      </c>
      <c r="M25" s="365">
        <f t="shared" si="6"/>
        <v>36866802037</v>
      </c>
      <c r="N25" s="365">
        <f t="shared" si="6"/>
        <v>36866802037</v>
      </c>
    </row>
    <row r="26" spans="1:14" s="7" customFormat="1" ht="14.4">
      <c r="B26" s="343" t="s">
        <v>1028</v>
      </c>
      <c r="C26" s="84" t="s">
        <v>677</v>
      </c>
      <c r="D26" s="348">
        <f>IFERROR(-OD_CF!D15/OD_IS!D21,0)</f>
        <v>0</v>
      </c>
      <c r="E26" s="348">
        <f>IFERROR(-OD_CF!E15/OD_IS!E21,0)</f>
        <v>0</v>
      </c>
      <c r="F26" s="348">
        <f>IFERROR(-OD_CF!F15/OD_IS!F21,0)</f>
        <v>0</v>
      </c>
      <c r="G26" s="349">
        <f>IFERROR(-OD_CF!G15/OD_IS!G21,0)</f>
        <v>0</v>
      </c>
      <c r="H26" s="349">
        <f>IFERROR(-OD_CF!H15/OD_IS!H21,0)</f>
        <v>1.5584581210734689E-2</v>
      </c>
      <c r="I26" s="366">
        <v>0</v>
      </c>
      <c r="J26" s="366">
        <v>0</v>
      </c>
      <c r="K26" s="366">
        <v>0.05</v>
      </c>
      <c r="L26" s="366">
        <v>0.1</v>
      </c>
      <c r="M26" s="366">
        <v>0.15</v>
      </c>
      <c r="N26" s="366">
        <v>0.2</v>
      </c>
    </row>
    <row r="27" spans="1:14" s="43" customFormat="1" ht="14.4">
      <c r="A27" s="42"/>
      <c r="B27" s="337" t="s">
        <v>703</v>
      </c>
      <c r="C27" s="96" t="s">
        <v>677</v>
      </c>
      <c r="D27" s="340"/>
      <c r="E27" s="340"/>
      <c r="F27" s="340"/>
      <c r="G27" s="340"/>
      <c r="H27" s="340"/>
      <c r="I27" s="367"/>
      <c r="J27" s="367"/>
      <c r="K27" s="367"/>
      <c r="L27" s="367"/>
      <c r="M27" s="367"/>
      <c r="N27" s="367"/>
    </row>
    <row r="28" spans="1:14" s="7" customFormat="1" ht="14.4">
      <c r="B28" s="368" t="str">
        <f>B10</f>
        <v>G&amp;A expenses % of revenue</v>
      </c>
      <c r="C28" s="84" t="s">
        <v>983</v>
      </c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</row>
    <row r="29" spans="1:14" s="43" customFormat="1" ht="14.4">
      <c r="A29" s="42"/>
      <c r="B29" s="337" t="s">
        <v>703</v>
      </c>
      <c r="C29" s="96" t="s">
        <v>677</v>
      </c>
      <c r="D29" s="340"/>
      <c r="E29" s="340"/>
      <c r="F29" s="340"/>
      <c r="G29" s="340"/>
      <c r="H29" s="340"/>
      <c r="I29" s="367"/>
      <c r="J29" s="367"/>
      <c r="K29" s="367"/>
      <c r="L29" s="367"/>
      <c r="M29" s="367"/>
      <c r="N29" s="367"/>
    </row>
    <row r="30" spans="1:14" s="7" customFormat="1" ht="14.4">
      <c r="B30" s="368" t="str">
        <f>B13</f>
        <v>Tax rate</v>
      </c>
      <c r="C30" s="84" t="s">
        <v>983</v>
      </c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</row>
    <row r="31" spans="1:14" s="43" customFormat="1" ht="14.4">
      <c r="A31" s="42"/>
      <c r="B31" s="337" t="s">
        <v>703</v>
      </c>
      <c r="C31" s="96" t="s">
        <v>677</v>
      </c>
      <c r="D31" s="340"/>
      <c r="E31" s="340"/>
      <c r="F31" s="340"/>
      <c r="G31" s="340"/>
      <c r="H31" s="340"/>
      <c r="I31" s="367"/>
      <c r="J31" s="367"/>
      <c r="K31" s="367"/>
      <c r="L31" s="367"/>
      <c r="M31" s="367"/>
      <c r="N31" s="367"/>
    </row>
    <row r="32" spans="1:14" s="45" customFormat="1" ht="14.4">
      <c r="A32" s="44"/>
      <c r="B32" s="337" t="s">
        <v>722</v>
      </c>
      <c r="C32" s="96" t="s">
        <v>677</v>
      </c>
      <c r="D32" s="340"/>
      <c r="E32" s="340"/>
      <c r="F32" s="340"/>
      <c r="G32" s="340"/>
      <c r="H32" s="340"/>
      <c r="I32" s="134"/>
      <c r="J32" s="134"/>
      <c r="K32" s="134"/>
      <c r="L32" s="134"/>
      <c r="M32" s="134"/>
      <c r="N32" s="134"/>
    </row>
    <row r="33" spans="1:16" s="45" customFormat="1" ht="14.4">
      <c r="A33" s="44"/>
      <c r="B33" s="368"/>
      <c r="C33" s="96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</row>
    <row r="34" spans="1:16" s="7" customFormat="1" ht="14.4">
      <c r="B34" s="107" t="s">
        <v>723</v>
      </c>
      <c r="C34" s="394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67"/>
    </row>
    <row r="35" spans="1:16" s="45" customFormat="1" ht="14.4">
      <c r="A35" s="44"/>
      <c r="B35" s="65" t="s">
        <v>724</v>
      </c>
      <c r="C35" s="84"/>
      <c r="D35" s="157"/>
      <c r="E35" s="157"/>
      <c r="F35" s="157"/>
      <c r="G35" s="157"/>
      <c r="H35" s="157"/>
      <c r="I35" s="369"/>
      <c r="J35" s="369"/>
      <c r="K35" s="369"/>
      <c r="L35" s="369"/>
      <c r="M35" s="369"/>
      <c r="N35" s="369"/>
    </row>
    <row r="36" spans="1:16" s="49" customFormat="1" ht="14.4">
      <c r="B36" s="368" t="s">
        <v>725</v>
      </c>
      <c r="C36" s="84" t="s">
        <v>993</v>
      </c>
      <c r="D36" s="157"/>
      <c r="E36" s="157"/>
      <c r="F36" s="157"/>
      <c r="G36" s="157"/>
      <c r="H36" s="157"/>
      <c r="I36" s="369"/>
      <c r="J36" s="369"/>
      <c r="K36" s="369"/>
      <c r="L36" s="369"/>
      <c r="M36" s="369"/>
      <c r="N36" s="369"/>
    </row>
    <row r="37" spans="1:16" s="45" customFormat="1" ht="14.4">
      <c r="A37" s="44"/>
      <c r="B37" s="368" t="s">
        <v>680</v>
      </c>
      <c r="C37" s="84" t="s">
        <v>983</v>
      </c>
      <c r="D37" s="133"/>
      <c r="E37" s="133"/>
      <c r="F37" s="133"/>
      <c r="G37" s="133"/>
      <c r="H37" s="133"/>
      <c r="I37" s="134"/>
      <c r="J37" s="134"/>
      <c r="K37" s="134"/>
      <c r="L37" s="134"/>
      <c r="M37" s="134"/>
      <c r="N37" s="134"/>
      <c r="P37" s="46"/>
    </row>
    <row r="38" spans="1:16" s="22" customFormat="1" ht="14.4">
      <c r="B38" s="370" t="s">
        <v>681</v>
      </c>
      <c r="C38" s="84" t="s">
        <v>983</v>
      </c>
      <c r="D38" s="133"/>
      <c r="E38" s="133"/>
      <c r="F38" s="133"/>
      <c r="G38" s="133"/>
      <c r="H38" s="133"/>
      <c r="I38" s="134"/>
      <c r="J38" s="134"/>
      <c r="K38" s="134"/>
      <c r="L38" s="134"/>
      <c r="M38" s="134"/>
      <c r="N38" s="134"/>
    </row>
    <row r="39" spans="1:16" s="45" customFormat="1" ht="14.4">
      <c r="A39" s="44"/>
      <c r="B39" s="370" t="s">
        <v>682</v>
      </c>
      <c r="C39" s="84" t="s">
        <v>983</v>
      </c>
      <c r="D39" s="133"/>
      <c r="E39" s="133"/>
      <c r="F39" s="133"/>
      <c r="G39" s="133"/>
      <c r="H39" s="133"/>
      <c r="I39" s="134"/>
      <c r="J39" s="134"/>
      <c r="K39" s="134"/>
      <c r="L39" s="134"/>
      <c r="M39" s="134"/>
      <c r="N39" s="134"/>
    </row>
    <row r="40" spans="1:16" s="45" customFormat="1" ht="14.4">
      <c r="A40" s="44"/>
      <c r="B40" s="370" t="s">
        <v>726</v>
      </c>
      <c r="C40" s="84" t="s">
        <v>983</v>
      </c>
      <c r="D40" s="133"/>
      <c r="E40" s="133"/>
      <c r="F40" s="133"/>
      <c r="G40" s="133"/>
      <c r="H40" s="133"/>
      <c r="I40" s="134"/>
      <c r="J40" s="134"/>
      <c r="K40" s="134"/>
      <c r="L40" s="134"/>
      <c r="M40" s="134"/>
      <c r="N40" s="134"/>
    </row>
    <row r="41" spans="1:16" ht="14.4">
      <c r="B41" s="368"/>
      <c r="C41" s="84"/>
      <c r="D41" s="67"/>
      <c r="E41" s="67"/>
      <c r="F41" s="67"/>
      <c r="G41" s="133"/>
      <c r="H41" s="133"/>
      <c r="I41" s="134"/>
      <c r="J41" s="134"/>
      <c r="K41" s="134"/>
      <c r="L41" s="134"/>
      <c r="M41" s="134"/>
      <c r="N41" s="134"/>
    </row>
    <row r="42" spans="1:16" ht="14.4">
      <c r="B42" s="368" t="s">
        <v>727</v>
      </c>
      <c r="C42" s="84" t="s">
        <v>993</v>
      </c>
      <c r="D42" s="371"/>
      <c r="E42" s="371"/>
      <c r="F42" s="371"/>
      <c r="G42" s="371"/>
      <c r="H42" s="371"/>
      <c r="I42" s="372"/>
      <c r="J42" s="372"/>
      <c r="K42" s="372"/>
      <c r="L42" s="372"/>
      <c r="M42" s="372"/>
      <c r="N42" s="372"/>
    </row>
    <row r="43" spans="1:16" s="20" customFormat="1" ht="14.4">
      <c r="B43" s="368" t="s">
        <v>680</v>
      </c>
      <c r="C43" s="84" t="s">
        <v>983</v>
      </c>
      <c r="D43" s="371"/>
      <c r="E43" s="371"/>
      <c r="F43" s="371"/>
      <c r="G43" s="371"/>
      <c r="H43" s="371"/>
      <c r="I43" s="372"/>
      <c r="J43" s="372"/>
      <c r="K43" s="372"/>
      <c r="L43" s="372"/>
      <c r="M43" s="372"/>
      <c r="N43" s="372"/>
    </row>
    <row r="44" spans="1:16" ht="14.4">
      <c r="B44" s="370" t="s">
        <v>681</v>
      </c>
      <c r="C44" s="84" t="s">
        <v>983</v>
      </c>
      <c r="D44" s="371"/>
      <c r="E44" s="371"/>
      <c r="F44" s="371"/>
      <c r="G44" s="371"/>
      <c r="H44" s="371"/>
      <c r="I44" s="372"/>
      <c r="J44" s="372"/>
      <c r="K44" s="372"/>
      <c r="L44" s="372"/>
      <c r="M44" s="372"/>
      <c r="N44" s="372"/>
    </row>
    <row r="45" spans="1:16" ht="14.4">
      <c r="B45" s="370" t="s">
        <v>682</v>
      </c>
      <c r="C45" s="84" t="s">
        <v>983</v>
      </c>
      <c r="D45" s="371"/>
      <c r="E45" s="371"/>
      <c r="F45" s="371"/>
      <c r="G45" s="371"/>
      <c r="H45" s="371"/>
      <c r="I45" s="372"/>
      <c r="J45" s="372"/>
      <c r="K45" s="372"/>
      <c r="L45" s="372"/>
      <c r="M45" s="372"/>
      <c r="N45" s="372"/>
    </row>
    <row r="46" spans="1:16" ht="14.4">
      <c r="B46" s="370" t="s">
        <v>726</v>
      </c>
      <c r="C46" s="84" t="s">
        <v>983</v>
      </c>
      <c r="D46" s="371"/>
      <c r="E46" s="371"/>
      <c r="F46" s="371"/>
      <c r="G46" s="371"/>
      <c r="H46" s="371"/>
      <c r="I46" s="372"/>
      <c r="J46" s="372"/>
      <c r="K46" s="372"/>
      <c r="L46" s="372"/>
      <c r="M46" s="372"/>
      <c r="N46" s="372"/>
    </row>
    <row r="47" spans="1:16" ht="14.4">
      <c r="B47" s="368"/>
      <c r="C47" s="84"/>
      <c r="D47" s="67"/>
      <c r="E47" s="67"/>
      <c r="F47" s="67"/>
      <c r="G47" s="67"/>
      <c r="H47" s="67"/>
      <c r="I47" s="134"/>
      <c r="J47" s="134"/>
      <c r="K47" s="134"/>
      <c r="L47" s="134"/>
      <c r="M47" s="134"/>
      <c r="N47" s="134"/>
    </row>
    <row r="48" spans="1:16" s="45" customFormat="1" ht="14.4">
      <c r="A48" s="44"/>
      <c r="B48" s="65" t="s">
        <v>728</v>
      </c>
      <c r="C48" s="84"/>
      <c r="D48" s="67"/>
      <c r="E48" s="67"/>
      <c r="F48" s="67"/>
      <c r="G48" s="67"/>
      <c r="H48" s="67"/>
      <c r="I48" s="134"/>
      <c r="J48" s="134"/>
      <c r="K48" s="134"/>
      <c r="L48" s="134"/>
      <c r="M48" s="134"/>
      <c r="N48" s="134"/>
    </row>
    <row r="49" spans="1:14" ht="14.4">
      <c r="B49" s="65" t="s">
        <v>729</v>
      </c>
      <c r="C49" s="84" t="s">
        <v>983</v>
      </c>
      <c r="D49" s="133"/>
      <c r="E49" s="133"/>
      <c r="F49" s="133"/>
      <c r="G49" s="133"/>
      <c r="H49" s="133"/>
      <c r="I49" s="134"/>
      <c r="J49" s="134"/>
      <c r="K49" s="134"/>
      <c r="L49" s="134"/>
      <c r="M49" s="134"/>
      <c r="N49" s="134"/>
    </row>
    <row r="50" spans="1:14" s="45" customFormat="1" ht="14.4">
      <c r="A50" s="44"/>
      <c r="B50" s="337" t="s">
        <v>730</v>
      </c>
      <c r="C50" s="96" t="s">
        <v>677</v>
      </c>
      <c r="D50" s="340"/>
      <c r="E50" s="340"/>
      <c r="F50" s="340"/>
      <c r="G50" s="340"/>
      <c r="H50" s="340"/>
      <c r="I50" s="372"/>
      <c r="J50" s="372"/>
      <c r="K50" s="372"/>
      <c r="L50" s="372"/>
      <c r="M50" s="372"/>
      <c r="N50" s="372"/>
    </row>
    <row r="51" spans="1:14" ht="14.4">
      <c r="B51" s="396" t="s">
        <v>984</v>
      </c>
      <c r="C51" s="397" t="s">
        <v>983</v>
      </c>
      <c r="D51" s="398"/>
      <c r="E51" s="398"/>
      <c r="F51" s="398"/>
      <c r="G51" s="398"/>
      <c r="H51" s="398"/>
      <c r="I51" s="399"/>
      <c r="J51" s="399"/>
      <c r="K51" s="399"/>
      <c r="L51" s="399"/>
      <c r="M51" s="399"/>
      <c r="N51" s="374"/>
    </row>
    <row r="52" spans="1:14" ht="14.4">
      <c r="B52" s="337" t="s">
        <v>719</v>
      </c>
      <c r="C52" s="96" t="s">
        <v>677</v>
      </c>
      <c r="D52" s="340"/>
      <c r="E52" s="340"/>
      <c r="F52" s="340"/>
      <c r="G52" s="340"/>
      <c r="H52" s="340"/>
      <c r="I52" s="372"/>
      <c r="J52" s="372"/>
      <c r="K52" s="372"/>
      <c r="L52" s="372"/>
      <c r="M52" s="372"/>
      <c r="N52" s="372"/>
    </row>
    <row r="53" spans="1:14" ht="14.4">
      <c r="B53" s="370" t="s">
        <v>985</v>
      </c>
      <c r="C53" s="84" t="s">
        <v>731</v>
      </c>
      <c r="D53" s="375"/>
      <c r="E53" s="375"/>
      <c r="F53" s="375"/>
      <c r="G53" s="375"/>
      <c r="H53" s="375"/>
      <c r="I53" s="376"/>
      <c r="J53" s="376"/>
      <c r="K53" s="376"/>
      <c r="L53" s="376"/>
      <c r="M53" s="376"/>
      <c r="N53" s="376"/>
    </row>
    <row r="54" spans="1:14" ht="14.4">
      <c r="B54" s="337" t="s">
        <v>730</v>
      </c>
      <c r="C54" s="96" t="s">
        <v>677</v>
      </c>
      <c r="D54" s="340"/>
      <c r="E54" s="340"/>
      <c r="F54" s="340"/>
      <c r="G54" s="340"/>
      <c r="H54" s="340"/>
      <c r="I54" s="372"/>
      <c r="J54" s="372"/>
      <c r="K54" s="372"/>
      <c r="L54" s="372"/>
      <c r="M54" s="372"/>
      <c r="N54" s="372"/>
    </row>
    <row r="55" spans="1:14" ht="14.4">
      <c r="B55" s="370"/>
      <c r="C55" s="84" t="s">
        <v>731</v>
      </c>
      <c r="D55" s="375"/>
      <c r="E55" s="375"/>
      <c r="F55" s="375"/>
      <c r="G55" s="375"/>
      <c r="H55" s="375"/>
      <c r="I55" s="376"/>
      <c r="J55" s="376"/>
      <c r="K55" s="376"/>
      <c r="L55" s="376"/>
      <c r="M55" s="376"/>
      <c r="N55" s="376"/>
    </row>
    <row r="56" spans="1:14" ht="14.4">
      <c r="B56" s="337" t="s">
        <v>730</v>
      </c>
      <c r="C56" s="96" t="s">
        <v>677</v>
      </c>
      <c r="D56" s="340"/>
      <c r="E56" s="340"/>
      <c r="F56" s="340"/>
      <c r="G56" s="340"/>
      <c r="H56" s="340"/>
      <c r="I56" s="372"/>
      <c r="J56" s="372"/>
      <c r="K56" s="372"/>
      <c r="L56" s="372"/>
      <c r="M56" s="372"/>
      <c r="N56" s="372"/>
    </row>
    <row r="57" spans="1:14" ht="14.4">
      <c r="B57" s="370"/>
      <c r="C57" s="84" t="s">
        <v>732</v>
      </c>
      <c r="D57" s="375"/>
      <c r="E57" s="375"/>
      <c r="F57" s="375"/>
      <c r="G57" s="375"/>
      <c r="H57" s="375"/>
      <c r="I57" s="376"/>
      <c r="J57" s="376"/>
      <c r="K57" s="376"/>
      <c r="L57" s="376"/>
      <c r="M57" s="376"/>
      <c r="N57" s="376"/>
    </row>
    <row r="58" spans="1:14" ht="14.4">
      <c r="B58" s="337" t="s">
        <v>730</v>
      </c>
      <c r="C58" s="96" t="s">
        <v>677</v>
      </c>
      <c r="D58" s="340"/>
      <c r="E58" s="340"/>
      <c r="F58" s="340"/>
      <c r="G58" s="340"/>
      <c r="H58" s="340"/>
      <c r="I58" s="372"/>
      <c r="J58" s="372"/>
      <c r="K58" s="372"/>
      <c r="L58" s="372"/>
      <c r="M58" s="372"/>
      <c r="N58" s="372"/>
    </row>
    <row r="59" spans="1:14" ht="14.4">
      <c r="B59" s="368"/>
      <c r="C59" s="96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</row>
    <row r="60" spans="1:14" ht="14.4">
      <c r="B60" s="368" t="s">
        <v>986</v>
      </c>
      <c r="C60" s="84" t="s">
        <v>677</v>
      </c>
      <c r="D60" s="371"/>
      <c r="E60" s="371"/>
      <c r="F60" s="371"/>
      <c r="G60" s="371"/>
      <c r="H60" s="371"/>
      <c r="I60" s="372"/>
      <c r="J60" s="372"/>
      <c r="K60" s="372"/>
      <c r="L60" s="372"/>
      <c r="M60" s="372"/>
      <c r="N60" s="372"/>
    </row>
    <row r="61" spans="1:14" ht="14.4">
      <c r="B61" s="368" t="s">
        <v>992</v>
      </c>
      <c r="C61" s="84" t="s">
        <v>677</v>
      </c>
      <c r="D61" s="67"/>
      <c r="E61" s="371"/>
      <c r="F61" s="371"/>
      <c r="G61" s="371"/>
      <c r="H61" s="371"/>
      <c r="I61" s="372"/>
      <c r="J61" s="372"/>
      <c r="K61" s="372"/>
      <c r="L61" s="372"/>
      <c r="M61" s="372"/>
      <c r="N61" s="372"/>
    </row>
    <row r="62" spans="1:14" ht="14.4">
      <c r="B62" s="337" t="s">
        <v>987</v>
      </c>
      <c r="C62" s="96" t="s">
        <v>677</v>
      </c>
      <c r="D62" s="340"/>
      <c r="E62" s="340"/>
      <c r="F62" s="340"/>
      <c r="G62" s="340"/>
      <c r="H62" s="340"/>
      <c r="I62" s="372"/>
      <c r="J62" s="372"/>
      <c r="K62" s="372"/>
      <c r="L62" s="372"/>
      <c r="M62" s="372"/>
      <c r="N62" s="372"/>
    </row>
    <row r="63" spans="1:14" ht="14.4">
      <c r="B63" s="337" t="s">
        <v>987</v>
      </c>
      <c r="C63" s="96" t="s">
        <v>677</v>
      </c>
      <c r="D63" s="340"/>
      <c r="E63" s="340"/>
      <c r="F63" s="340"/>
      <c r="G63" s="340"/>
      <c r="H63" s="340"/>
      <c r="I63" s="372"/>
      <c r="J63" s="372"/>
      <c r="K63" s="372"/>
      <c r="L63" s="372"/>
      <c r="M63" s="372"/>
      <c r="N63" s="372"/>
    </row>
    <row r="64" spans="1:14" ht="14.4">
      <c r="B64" s="368" t="s">
        <v>733</v>
      </c>
      <c r="C64" s="84" t="s">
        <v>677</v>
      </c>
      <c r="D64" s="67"/>
      <c r="E64" s="371"/>
      <c r="F64" s="371"/>
      <c r="G64" s="371"/>
      <c r="H64" s="371"/>
      <c r="I64" s="372"/>
      <c r="J64" s="372"/>
      <c r="K64" s="372"/>
      <c r="L64" s="372"/>
      <c r="M64" s="372"/>
      <c r="N64" s="372"/>
    </row>
    <row r="65" spans="1:14" ht="14.4">
      <c r="B65" s="368"/>
      <c r="C65" s="96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</row>
    <row r="66" spans="1:14" s="45" customFormat="1" ht="14.4">
      <c r="A66" s="44"/>
      <c r="B66" s="396" t="s">
        <v>988</v>
      </c>
      <c r="C66" s="397" t="s">
        <v>983</v>
      </c>
      <c r="D66" s="398"/>
      <c r="E66" s="398"/>
      <c r="F66" s="398"/>
      <c r="G66" s="398"/>
      <c r="H66" s="398"/>
      <c r="I66" s="399"/>
      <c r="J66" s="399"/>
      <c r="K66" s="399"/>
      <c r="L66" s="399"/>
      <c r="M66" s="399"/>
      <c r="N66" s="374"/>
    </row>
    <row r="67" spans="1:14" ht="14.4">
      <c r="B67" s="337" t="s">
        <v>719</v>
      </c>
      <c r="C67" s="96" t="s">
        <v>677</v>
      </c>
      <c r="D67" s="340"/>
      <c r="E67" s="340"/>
      <c r="F67" s="340"/>
      <c r="G67" s="340"/>
      <c r="H67" s="340"/>
      <c r="I67" s="372"/>
      <c r="J67" s="372"/>
      <c r="K67" s="372"/>
      <c r="L67" s="372"/>
      <c r="M67" s="372"/>
      <c r="N67" s="372"/>
    </row>
    <row r="68" spans="1:14" ht="14.4">
      <c r="B68" s="337" t="s">
        <v>730</v>
      </c>
      <c r="C68" s="96" t="s">
        <v>677</v>
      </c>
      <c r="D68" s="340"/>
      <c r="E68" s="340"/>
      <c r="F68" s="340"/>
      <c r="G68" s="340"/>
      <c r="H68" s="340"/>
      <c r="I68" s="372"/>
      <c r="J68" s="372"/>
      <c r="K68" s="372"/>
      <c r="L68" s="372"/>
      <c r="M68" s="372"/>
      <c r="N68" s="372"/>
    </row>
    <row r="69" spans="1:14" ht="14.4">
      <c r="B69" s="370" t="s">
        <v>989</v>
      </c>
      <c r="C69" s="84" t="s">
        <v>734</v>
      </c>
      <c r="D69" s="375"/>
      <c r="E69" s="375"/>
      <c r="F69" s="375"/>
      <c r="G69" s="375"/>
      <c r="H69" s="375"/>
      <c r="I69" s="374"/>
      <c r="J69" s="376"/>
      <c r="K69" s="376"/>
      <c r="L69" s="376"/>
      <c r="M69" s="376"/>
      <c r="N69" s="376"/>
    </row>
    <row r="70" spans="1:14" ht="14.4">
      <c r="B70" s="337" t="s">
        <v>730</v>
      </c>
      <c r="C70" s="96" t="s">
        <v>677</v>
      </c>
      <c r="D70" s="340"/>
      <c r="E70" s="340"/>
      <c r="F70" s="340"/>
      <c r="G70" s="340"/>
      <c r="H70" s="340"/>
      <c r="I70" s="372"/>
      <c r="J70" s="372"/>
      <c r="K70" s="372"/>
      <c r="L70" s="372"/>
      <c r="M70" s="372"/>
      <c r="N70" s="372"/>
    </row>
    <row r="71" spans="1:14" ht="14.4">
      <c r="B71" s="370"/>
      <c r="C71" s="84" t="s">
        <v>677</v>
      </c>
      <c r="D71" s="375"/>
      <c r="E71" s="375"/>
      <c r="F71" s="375"/>
      <c r="G71" s="375"/>
      <c r="H71" s="375"/>
      <c r="I71" s="376"/>
      <c r="J71" s="376"/>
      <c r="K71" s="376"/>
      <c r="L71" s="376"/>
      <c r="M71" s="376"/>
      <c r="N71" s="376"/>
    </row>
    <row r="72" spans="1:14" s="19" customFormat="1" ht="14.4">
      <c r="A72" s="15"/>
      <c r="B72" s="368"/>
      <c r="C72" s="96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</row>
    <row r="73" spans="1:14" ht="14.4">
      <c r="B73" s="396" t="s">
        <v>990</v>
      </c>
      <c r="C73" s="397" t="s">
        <v>983</v>
      </c>
      <c r="D73" s="398"/>
      <c r="E73" s="398"/>
      <c r="F73" s="398"/>
      <c r="G73" s="398"/>
      <c r="H73" s="398"/>
      <c r="I73" s="399"/>
      <c r="J73" s="399"/>
      <c r="K73" s="399"/>
      <c r="L73" s="399"/>
      <c r="M73" s="399"/>
      <c r="N73" s="374"/>
    </row>
    <row r="74" spans="1:14" ht="14.4">
      <c r="B74" s="337" t="s">
        <v>719</v>
      </c>
      <c r="C74" s="96" t="s">
        <v>677</v>
      </c>
      <c r="D74" s="340"/>
      <c r="E74" s="340"/>
      <c r="F74" s="340"/>
      <c r="G74" s="340"/>
      <c r="H74" s="340"/>
      <c r="I74" s="372"/>
      <c r="J74" s="372"/>
      <c r="K74" s="372"/>
      <c r="L74" s="372"/>
      <c r="M74" s="372"/>
      <c r="N74" s="372"/>
    </row>
    <row r="75" spans="1:14" ht="14.4">
      <c r="B75" s="337" t="s">
        <v>730</v>
      </c>
      <c r="C75" s="96" t="s">
        <v>677</v>
      </c>
      <c r="D75" s="340"/>
      <c r="E75" s="340"/>
      <c r="F75" s="340"/>
      <c r="G75" s="340"/>
      <c r="H75" s="340"/>
      <c r="I75" s="372"/>
      <c r="J75" s="372"/>
      <c r="K75" s="372"/>
      <c r="L75" s="372"/>
      <c r="M75" s="372"/>
      <c r="N75" s="372"/>
    </row>
    <row r="76" spans="1:14" s="48" customFormat="1" ht="14.4">
      <c r="A76" s="24"/>
      <c r="B76" s="370" t="s">
        <v>991</v>
      </c>
      <c r="C76" s="84" t="s">
        <v>734</v>
      </c>
      <c r="D76" s="375"/>
      <c r="E76" s="375"/>
      <c r="F76" s="375"/>
      <c r="G76" s="375"/>
      <c r="H76" s="375"/>
      <c r="I76" s="376"/>
      <c r="J76" s="376"/>
      <c r="K76" s="376"/>
      <c r="L76" s="376"/>
      <c r="M76" s="376"/>
      <c r="N76" s="376"/>
    </row>
    <row r="77" spans="1:14" ht="14.4">
      <c r="B77" s="337" t="s">
        <v>730</v>
      </c>
      <c r="C77" s="96" t="s">
        <v>677</v>
      </c>
      <c r="D77" s="340"/>
      <c r="E77" s="340"/>
      <c r="F77" s="340"/>
      <c r="G77" s="340"/>
      <c r="H77" s="340"/>
      <c r="I77" s="372"/>
      <c r="J77" s="372"/>
      <c r="K77" s="372"/>
      <c r="L77" s="372"/>
      <c r="M77" s="372"/>
      <c r="N77" s="372"/>
    </row>
    <row r="78" spans="1:14" ht="14.4">
      <c r="B78" s="368"/>
      <c r="C78" s="96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</row>
    <row r="79" spans="1:14" s="48" customFormat="1" ht="14.4">
      <c r="A79" s="24"/>
      <c r="B79" s="396" t="s">
        <v>735</v>
      </c>
      <c r="C79" s="397" t="s">
        <v>983</v>
      </c>
      <c r="D79" s="398"/>
      <c r="E79" s="398"/>
      <c r="F79" s="398"/>
      <c r="G79" s="398"/>
      <c r="H79" s="398"/>
      <c r="I79" s="399"/>
      <c r="J79" s="399"/>
      <c r="K79" s="399"/>
      <c r="L79" s="399"/>
      <c r="M79" s="399"/>
      <c r="N79" s="374"/>
    </row>
    <row r="80" spans="1:14" ht="14.4">
      <c r="B80" s="337" t="s">
        <v>719</v>
      </c>
      <c r="C80" s="96" t="s">
        <v>677</v>
      </c>
      <c r="D80" s="340"/>
      <c r="E80" s="340"/>
      <c r="F80" s="340"/>
      <c r="G80" s="340"/>
      <c r="H80" s="340"/>
      <c r="I80" s="372"/>
      <c r="J80" s="372"/>
      <c r="K80" s="372"/>
      <c r="L80" s="372"/>
      <c r="M80" s="372"/>
      <c r="N80" s="372"/>
    </row>
    <row r="81" spans="1:15" ht="14.4">
      <c r="B81" s="337" t="s">
        <v>730</v>
      </c>
      <c r="C81" s="96" t="s">
        <v>677</v>
      </c>
      <c r="D81" s="340"/>
      <c r="E81" s="340"/>
      <c r="F81" s="340"/>
      <c r="G81" s="340"/>
      <c r="H81" s="340"/>
      <c r="I81" s="372"/>
      <c r="J81" s="372"/>
      <c r="K81" s="372"/>
      <c r="L81" s="372"/>
      <c r="M81" s="372"/>
      <c r="N81" s="372"/>
    </row>
    <row r="82" spans="1:15" s="45" customFormat="1" ht="14.4">
      <c r="A82" s="44"/>
      <c r="B82" s="337" t="s">
        <v>720</v>
      </c>
      <c r="C82" s="96" t="s">
        <v>677</v>
      </c>
      <c r="D82" s="340"/>
      <c r="E82" s="340"/>
      <c r="F82" s="340"/>
      <c r="G82" s="340"/>
      <c r="H82" s="340"/>
      <c r="I82" s="134"/>
      <c r="J82" s="134"/>
      <c r="K82" s="134"/>
      <c r="L82" s="134"/>
      <c r="M82" s="134"/>
      <c r="N82" s="134"/>
    </row>
    <row r="83" spans="1:15" ht="14.4">
      <c r="B83" s="368"/>
      <c r="C83" s="96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</row>
    <row r="84" spans="1:15" ht="14.4">
      <c r="B84" s="368" t="s">
        <v>736</v>
      </c>
      <c r="C84" s="84" t="s">
        <v>983</v>
      </c>
      <c r="D84" s="133"/>
      <c r="E84" s="133"/>
      <c r="F84" s="133"/>
      <c r="G84" s="133"/>
      <c r="H84" s="133"/>
      <c r="I84" s="134"/>
      <c r="J84" s="134"/>
      <c r="K84" s="134"/>
      <c r="L84" s="134"/>
      <c r="M84" s="134"/>
      <c r="N84" s="134"/>
    </row>
    <row r="85" spans="1:15" ht="14.4">
      <c r="B85" s="337" t="s">
        <v>737</v>
      </c>
      <c r="C85" s="96" t="s">
        <v>677</v>
      </c>
      <c r="D85" s="338"/>
      <c r="E85" s="338"/>
      <c r="F85" s="338"/>
      <c r="G85" s="338"/>
      <c r="H85" s="338"/>
      <c r="I85" s="377"/>
      <c r="J85" s="377"/>
      <c r="K85" s="377"/>
      <c r="L85" s="377"/>
      <c r="M85" s="377"/>
      <c r="N85" s="377"/>
    </row>
    <row r="86" spans="1:15" ht="14.4">
      <c r="B86" s="337" t="s">
        <v>730</v>
      </c>
      <c r="C86" s="96" t="s">
        <v>677</v>
      </c>
      <c r="D86" s="338"/>
      <c r="E86" s="338"/>
      <c r="F86" s="338"/>
      <c r="G86" s="338"/>
      <c r="H86" s="338"/>
      <c r="I86" s="377"/>
      <c r="J86" s="377"/>
      <c r="K86" s="377"/>
      <c r="L86" s="377"/>
      <c r="M86" s="377"/>
      <c r="N86" s="377"/>
    </row>
    <row r="87" spans="1:15" ht="14.4">
      <c r="B87" s="368"/>
      <c r="C87" s="96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</row>
    <row r="88" spans="1:15" ht="14.4">
      <c r="B88" s="368" t="s">
        <v>738</v>
      </c>
      <c r="C88" s="84" t="s">
        <v>983</v>
      </c>
      <c r="D88" s="133"/>
      <c r="E88" s="133"/>
      <c r="F88" s="133"/>
      <c r="G88" s="133"/>
      <c r="H88" s="133"/>
      <c r="I88" s="134"/>
      <c r="J88" s="134"/>
      <c r="K88" s="134"/>
      <c r="L88" s="134"/>
      <c r="M88" s="134"/>
      <c r="N88" s="134"/>
    </row>
    <row r="89" spans="1:15" ht="14.4">
      <c r="B89" s="337" t="s">
        <v>730</v>
      </c>
      <c r="C89" s="96" t="s">
        <v>677</v>
      </c>
      <c r="D89" s="338"/>
      <c r="E89" s="338"/>
      <c r="F89" s="338"/>
      <c r="G89" s="338"/>
      <c r="H89" s="338"/>
      <c r="I89" s="377"/>
      <c r="J89" s="377"/>
      <c r="K89" s="377"/>
      <c r="L89" s="377"/>
      <c r="M89" s="377"/>
      <c r="N89" s="377"/>
      <c r="O89" s="13"/>
    </row>
    <row r="90" spans="1:15" ht="14.4">
      <c r="B90" s="368"/>
      <c r="C90" s="96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</row>
    <row r="91" spans="1:15" ht="14.4">
      <c r="B91" s="370" t="s">
        <v>739</v>
      </c>
      <c r="C91" s="84">
        <v>10</v>
      </c>
      <c r="D91" s="375"/>
      <c r="E91" s="375"/>
      <c r="F91" s="375"/>
      <c r="G91" s="375"/>
      <c r="H91" s="375"/>
      <c r="I91" s="376"/>
      <c r="J91" s="376"/>
      <c r="K91" s="376"/>
      <c r="L91" s="376"/>
      <c r="M91" s="376"/>
      <c r="N91" s="376"/>
    </row>
    <row r="92" spans="1:15" ht="14.4">
      <c r="B92" s="368" t="s">
        <v>740</v>
      </c>
      <c r="C92" s="84" t="s">
        <v>983</v>
      </c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</row>
    <row r="93" spans="1:15" ht="14.4">
      <c r="B93" s="337" t="s">
        <v>730</v>
      </c>
      <c r="C93" s="96" t="s">
        <v>677</v>
      </c>
      <c r="D93" s="340"/>
      <c r="E93" s="340"/>
      <c r="F93" s="340"/>
      <c r="G93" s="340"/>
      <c r="H93" s="340"/>
      <c r="I93" s="372"/>
      <c r="J93" s="372"/>
      <c r="K93" s="372"/>
      <c r="L93" s="372"/>
      <c r="M93" s="372"/>
      <c r="N93" s="372"/>
    </row>
    <row r="94" spans="1:15" ht="14.4">
      <c r="B94" s="368" t="s">
        <v>741</v>
      </c>
      <c r="C94" s="84" t="s">
        <v>983</v>
      </c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</row>
    <row r="95" spans="1:15" s="45" customFormat="1" ht="14.4">
      <c r="A95" s="44"/>
      <c r="B95" s="343" t="s">
        <v>742</v>
      </c>
      <c r="C95" s="84" t="s">
        <v>983</v>
      </c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</row>
    <row r="96" spans="1:15" ht="14.4">
      <c r="B96" s="343" t="s">
        <v>743</v>
      </c>
      <c r="C96" s="84" t="s">
        <v>983</v>
      </c>
      <c r="D96" s="373"/>
      <c r="E96" s="373"/>
      <c r="F96" s="373"/>
      <c r="G96" s="373"/>
      <c r="H96" s="373"/>
      <c r="I96" s="373"/>
      <c r="J96" s="373"/>
      <c r="K96" s="373"/>
      <c r="L96" s="373"/>
      <c r="M96" s="373"/>
      <c r="N96" s="373"/>
    </row>
    <row r="97" spans="2:14" ht="14.4">
      <c r="B97" s="343" t="s">
        <v>744</v>
      </c>
      <c r="C97" s="84" t="s">
        <v>983</v>
      </c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</row>
    <row r="98" spans="2:14" ht="14.4">
      <c r="B98" s="368" t="s">
        <v>745</v>
      </c>
      <c r="C98" s="84" t="s">
        <v>983</v>
      </c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</row>
    <row r="99" spans="2:14" ht="14.4">
      <c r="B99" s="343" t="s">
        <v>742</v>
      </c>
      <c r="C99" s="84" t="s">
        <v>983</v>
      </c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</row>
    <row r="100" spans="2:14" ht="14.4">
      <c r="B100" s="343" t="s">
        <v>743</v>
      </c>
      <c r="C100" s="84" t="s">
        <v>983</v>
      </c>
      <c r="D100" s="373"/>
      <c r="E100" s="373"/>
      <c r="F100" s="373"/>
      <c r="G100" s="373"/>
      <c r="H100" s="373"/>
      <c r="I100" s="373"/>
      <c r="J100" s="373"/>
      <c r="K100" s="373"/>
      <c r="L100" s="373"/>
      <c r="M100" s="373"/>
      <c r="N100" s="373"/>
    </row>
    <row r="101" spans="2:14" ht="14.4">
      <c r="B101" s="343" t="s">
        <v>744</v>
      </c>
      <c r="C101" s="84" t="s">
        <v>983</v>
      </c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</row>
    <row r="102" spans="2:14" ht="14.4">
      <c r="B102" s="368" t="s">
        <v>746</v>
      </c>
      <c r="C102" s="84" t="s">
        <v>983</v>
      </c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</row>
    <row r="103" spans="2:14" ht="14.4">
      <c r="B103" s="343" t="s">
        <v>742</v>
      </c>
      <c r="C103" s="84" t="s">
        <v>983</v>
      </c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</row>
    <row r="104" spans="2:14" ht="14.4">
      <c r="B104" s="343" t="s">
        <v>743</v>
      </c>
      <c r="C104" s="84" t="s">
        <v>983</v>
      </c>
      <c r="D104" s="373"/>
      <c r="E104" s="373"/>
      <c r="F104" s="373"/>
      <c r="G104" s="373"/>
      <c r="H104" s="373"/>
      <c r="I104" s="373"/>
      <c r="J104" s="373"/>
      <c r="K104" s="373"/>
      <c r="L104" s="373"/>
      <c r="M104" s="373"/>
      <c r="N104" s="373"/>
    </row>
    <row r="105" spans="2:14" ht="14.4">
      <c r="B105" s="343" t="s">
        <v>744</v>
      </c>
      <c r="C105" s="84" t="s">
        <v>983</v>
      </c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</row>
    <row r="106" spans="2:14" ht="14.4">
      <c r="B106" s="368" t="s">
        <v>747</v>
      </c>
      <c r="C106" s="84" t="s">
        <v>983</v>
      </c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</row>
    <row r="107" spans="2:14" ht="14.4">
      <c r="B107" s="343" t="s">
        <v>742</v>
      </c>
      <c r="C107" s="84" t="s">
        <v>983</v>
      </c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</row>
    <row r="108" spans="2:14" ht="14.4">
      <c r="B108" s="343" t="s">
        <v>743</v>
      </c>
      <c r="C108" s="84" t="s">
        <v>983</v>
      </c>
      <c r="D108" s="373"/>
      <c r="E108" s="373"/>
      <c r="F108" s="373"/>
      <c r="G108" s="373"/>
      <c r="H108" s="373"/>
      <c r="I108" s="373"/>
      <c r="J108" s="373"/>
      <c r="K108" s="373"/>
      <c r="L108" s="373"/>
      <c r="M108" s="373"/>
      <c r="N108" s="373"/>
    </row>
    <row r="109" spans="2:14" ht="14.4">
      <c r="B109" s="343" t="s">
        <v>744</v>
      </c>
      <c r="C109" s="84" t="s">
        <v>983</v>
      </c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</row>
    <row r="110" spans="2:14" ht="14.4">
      <c r="B110" s="368"/>
      <c r="C110" s="96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</row>
    <row r="111" spans="2:14" ht="14.4">
      <c r="B111" s="368" t="s">
        <v>748</v>
      </c>
      <c r="C111" s="96" t="s">
        <v>983</v>
      </c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</row>
    <row r="112" spans="2:14" ht="14.4">
      <c r="B112" s="368"/>
      <c r="C112" s="96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</row>
    <row r="113" spans="1:14" ht="14.4">
      <c r="B113" s="368" t="s">
        <v>749</v>
      </c>
      <c r="C113" s="84" t="s">
        <v>983</v>
      </c>
      <c r="D113" s="133"/>
      <c r="E113" s="133"/>
      <c r="F113" s="133"/>
      <c r="G113" s="133"/>
      <c r="H113" s="133"/>
      <c r="I113" s="134"/>
      <c r="J113" s="134"/>
      <c r="K113" s="134"/>
      <c r="L113" s="134"/>
      <c r="M113" s="134"/>
      <c r="N113" s="134"/>
    </row>
    <row r="114" spans="1:14" ht="14.4">
      <c r="B114" s="337" t="s">
        <v>737</v>
      </c>
      <c r="C114" s="96" t="s">
        <v>677</v>
      </c>
      <c r="D114" s="340"/>
      <c r="E114" s="340"/>
      <c r="F114" s="340"/>
      <c r="G114" s="340"/>
      <c r="H114" s="340"/>
      <c r="I114" s="372"/>
      <c r="J114" s="372"/>
      <c r="K114" s="372"/>
      <c r="L114" s="372"/>
      <c r="M114" s="372"/>
      <c r="N114" s="372"/>
    </row>
    <row r="115" spans="1:14" ht="14.4">
      <c r="B115" s="337" t="s">
        <v>730</v>
      </c>
      <c r="C115" s="96" t="s">
        <v>677</v>
      </c>
      <c r="D115" s="340"/>
      <c r="E115" s="340"/>
      <c r="F115" s="340"/>
      <c r="G115" s="340"/>
      <c r="H115" s="340"/>
      <c r="I115" s="372"/>
      <c r="J115" s="372"/>
      <c r="K115" s="372"/>
      <c r="L115" s="372"/>
      <c r="M115" s="372"/>
      <c r="N115" s="372"/>
    </row>
    <row r="116" spans="1:14" ht="15" thickBot="1">
      <c r="B116" s="378"/>
      <c r="C116" s="151"/>
      <c r="D116" s="379"/>
      <c r="E116" s="379"/>
      <c r="F116" s="379"/>
      <c r="G116" s="379"/>
      <c r="H116" s="379"/>
      <c r="I116" s="380"/>
      <c r="J116" s="380"/>
      <c r="K116" s="380"/>
      <c r="L116" s="380"/>
      <c r="M116" s="380"/>
      <c r="N116" s="380"/>
    </row>
    <row r="117" spans="1:14" s="23" customFormat="1" ht="15" thickTop="1">
      <c r="A117" s="22"/>
      <c r="B117" s="381" t="s">
        <v>314</v>
      </c>
      <c r="C117" s="84" t="s">
        <v>983</v>
      </c>
      <c r="D117" s="375"/>
      <c r="E117" s="375"/>
      <c r="F117" s="375"/>
      <c r="G117" s="375"/>
      <c r="H117" s="375"/>
      <c r="I117" s="133"/>
      <c r="J117" s="133"/>
      <c r="K117" s="133"/>
      <c r="L117" s="133"/>
      <c r="M117" s="133"/>
      <c r="N117" s="133"/>
    </row>
    <row r="118" spans="1:14" ht="14.4">
      <c r="B118" s="337" t="s">
        <v>750</v>
      </c>
      <c r="C118" s="96" t="s">
        <v>677</v>
      </c>
      <c r="D118" s="340"/>
      <c r="E118" s="340"/>
      <c r="F118" s="340"/>
      <c r="G118" s="340"/>
      <c r="H118" s="340"/>
      <c r="I118" s="372"/>
      <c r="J118" s="372"/>
      <c r="K118" s="372"/>
      <c r="L118" s="372"/>
      <c r="M118" s="372"/>
      <c r="N118" s="372"/>
    </row>
    <row r="119" spans="1:14" ht="14.4">
      <c r="B119" s="337" t="s">
        <v>730</v>
      </c>
      <c r="C119" s="96" t="s">
        <v>677</v>
      </c>
      <c r="D119" s="340"/>
      <c r="E119" s="340"/>
      <c r="F119" s="340"/>
      <c r="G119" s="340"/>
      <c r="H119" s="340"/>
      <c r="I119" s="372"/>
      <c r="J119" s="372"/>
      <c r="K119" s="372"/>
      <c r="L119" s="372"/>
      <c r="M119" s="372"/>
      <c r="N119" s="372"/>
    </row>
    <row r="120" spans="1:14" ht="14.4">
      <c r="B120" s="368"/>
      <c r="C120" s="96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</row>
    <row r="121" spans="1:14" ht="15" thickBot="1">
      <c r="B121" s="382"/>
      <c r="C121" s="151"/>
      <c r="D121" s="379"/>
      <c r="E121" s="379"/>
      <c r="F121" s="379"/>
      <c r="G121" s="379"/>
      <c r="H121" s="379"/>
      <c r="I121" s="380"/>
      <c r="J121" s="380"/>
      <c r="K121" s="380"/>
      <c r="L121" s="380"/>
      <c r="M121" s="380"/>
      <c r="N121" s="380"/>
    </row>
    <row r="122" spans="1:14" ht="15" thickTop="1">
      <c r="B122" s="381" t="s">
        <v>282</v>
      </c>
      <c r="C122" s="84" t="s">
        <v>983</v>
      </c>
      <c r="D122" s="375"/>
      <c r="E122" s="375"/>
      <c r="F122" s="375"/>
      <c r="G122" s="375"/>
      <c r="H122" s="375"/>
      <c r="I122" s="133"/>
      <c r="J122" s="133"/>
      <c r="K122" s="133"/>
      <c r="L122" s="133"/>
      <c r="M122" s="133"/>
      <c r="N122" s="133"/>
    </row>
    <row r="123" spans="1:14" ht="14.4">
      <c r="B123" s="337" t="s">
        <v>686</v>
      </c>
      <c r="C123" s="96" t="s">
        <v>677</v>
      </c>
      <c r="D123" s="383"/>
      <c r="E123" s="383"/>
      <c r="F123" s="383"/>
      <c r="G123" s="383"/>
      <c r="H123" s="383"/>
      <c r="I123" s="371"/>
      <c r="J123" s="371"/>
      <c r="K123" s="371"/>
      <c r="L123" s="371"/>
      <c r="M123" s="371"/>
      <c r="N123" s="371"/>
    </row>
    <row r="124" spans="1:14" ht="14.4">
      <c r="B124" s="337"/>
      <c r="C124" s="96"/>
      <c r="D124" s="384"/>
      <c r="E124" s="384"/>
      <c r="F124" s="384"/>
      <c r="G124" s="384"/>
      <c r="H124" s="384"/>
      <c r="I124" s="133"/>
      <c r="J124" s="133"/>
      <c r="K124" s="133"/>
      <c r="L124" s="133"/>
      <c r="M124" s="133"/>
      <c r="N124" s="133"/>
    </row>
    <row r="125" spans="1:14" ht="14.4">
      <c r="B125" s="368" t="s">
        <v>713</v>
      </c>
      <c r="C125" s="84" t="s">
        <v>983</v>
      </c>
      <c r="D125" s="375"/>
      <c r="E125" s="375"/>
      <c r="F125" s="375"/>
      <c r="G125" s="375"/>
      <c r="H125" s="375"/>
      <c r="I125" s="133"/>
      <c r="J125" s="133"/>
      <c r="K125" s="133"/>
      <c r="L125" s="133"/>
      <c r="M125" s="133"/>
      <c r="N125" s="133"/>
    </row>
    <row r="126" spans="1:14" ht="14.4">
      <c r="B126" s="337" t="s">
        <v>686</v>
      </c>
      <c r="C126" s="96" t="s">
        <v>677</v>
      </c>
      <c r="D126" s="383"/>
      <c r="E126" s="383"/>
      <c r="F126" s="383"/>
      <c r="G126" s="383"/>
      <c r="H126" s="383"/>
      <c r="I126" s="371"/>
      <c r="J126" s="371"/>
      <c r="K126" s="371"/>
      <c r="L126" s="371"/>
      <c r="M126" s="371"/>
      <c r="N126" s="371"/>
    </row>
    <row r="127" spans="1:14" ht="14.4">
      <c r="B127" s="368"/>
      <c r="C127" s="96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</row>
    <row r="128" spans="1:14" s="23" customFormat="1" ht="14.4">
      <c r="A128" s="22"/>
      <c r="B128" s="368" t="s">
        <v>751</v>
      </c>
      <c r="C128" s="84" t="s">
        <v>983</v>
      </c>
      <c r="D128" s="375"/>
      <c r="E128" s="375"/>
      <c r="F128" s="375"/>
      <c r="G128" s="375"/>
      <c r="H128" s="375"/>
      <c r="I128" s="133"/>
      <c r="J128" s="133"/>
      <c r="K128" s="133"/>
      <c r="L128" s="133"/>
      <c r="M128" s="133"/>
      <c r="N128" s="133"/>
    </row>
    <row r="129" spans="2:14" ht="14.4">
      <c r="B129" s="337" t="s">
        <v>752</v>
      </c>
      <c r="C129" s="96" t="s">
        <v>677</v>
      </c>
      <c r="D129" s="340"/>
      <c r="E129" s="340"/>
      <c r="F129" s="340"/>
      <c r="G129" s="340"/>
      <c r="H129" s="340"/>
      <c r="I129" s="372"/>
      <c r="J129" s="372"/>
      <c r="K129" s="372"/>
      <c r="L129" s="372"/>
      <c r="M129" s="372"/>
      <c r="N129" s="372"/>
    </row>
    <row r="130" spans="2:14" ht="14.4">
      <c r="B130" s="337" t="s">
        <v>730</v>
      </c>
      <c r="C130" s="96" t="s">
        <v>677</v>
      </c>
      <c r="D130" s="340"/>
      <c r="E130" s="340"/>
      <c r="F130" s="340"/>
      <c r="G130" s="340"/>
      <c r="H130" s="340"/>
      <c r="I130" s="372"/>
      <c r="J130" s="372"/>
      <c r="K130" s="372"/>
      <c r="L130" s="372"/>
      <c r="M130" s="372"/>
      <c r="N130" s="372"/>
    </row>
    <row r="131" spans="2:14" ht="14.4">
      <c r="B131" s="368" t="s">
        <v>753</v>
      </c>
      <c r="C131" s="84" t="s">
        <v>983</v>
      </c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</row>
    <row r="132" spans="2:14" ht="14.4">
      <c r="B132" s="385" t="s">
        <v>754</v>
      </c>
      <c r="C132" s="84" t="s">
        <v>983</v>
      </c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</row>
    <row r="133" spans="2:14" ht="14.4">
      <c r="B133" s="65"/>
      <c r="C133" s="96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</row>
    <row r="134" spans="2:14" ht="14.4">
      <c r="B134" s="65"/>
      <c r="C134" s="96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</row>
    <row r="135" spans="2:14" ht="14.4">
      <c r="B135" s="65"/>
      <c r="C135" s="96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</row>
    <row r="136" spans="2:14" ht="14.4">
      <c r="B136" s="65"/>
      <c r="C136" s="96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</row>
    <row r="137" spans="2:14" ht="14.4">
      <c r="B137" s="65"/>
      <c r="C137" s="96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</row>
    <row r="138" spans="2:14" ht="14.4">
      <c r="B138" s="65"/>
      <c r="C138" s="96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</row>
    <row r="139" spans="2:14" ht="14.4">
      <c r="B139" s="65"/>
      <c r="C139" s="96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</row>
    <row r="140" spans="2:14" ht="14.4">
      <c r="B140" s="65"/>
      <c r="C140" s="96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</row>
    <row r="141" spans="2:14" ht="14.4">
      <c r="B141" s="65"/>
      <c r="C141" s="96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</row>
    <row r="142" spans="2:14" ht="14.4">
      <c r="B142" s="65"/>
      <c r="C142" s="96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</row>
    <row r="143" spans="2:14" ht="14.4">
      <c r="B143" s="65"/>
      <c r="C143" s="96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</row>
    <row r="144" spans="2:14" ht="14.4">
      <c r="B144" s="65"/>
      <c r="C144" s="96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</row>
    <row r="145" spans="2:14" ht="14.4">
      <c r="B145" s="65"/>
      <c r="C145" s="96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</row>
    <row r="146" spans="2:14" ht="14.4">
      <c r="B146" s="65"/>
      <c r="C146" s="96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</row>
    <row r="147" spans="2:14" ht="14.4">
      <c r="B147" s="65"/>
      <c r="C147" s="96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</row>
    <row r="148" spans="2:14" ht="14.4">
      <c r="B148" s="65"/>
      <c r="C148" s="96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</row>
    <row r="149" spans="2:14" ht="14.4">
      <c r="B149" s="65"/>
      <c r="C149" s="96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</row>
    <row r="150" spans="2:14" ht="14.4">
      <c r="B150" s="65"/>
      <c r="C150" s="96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</row>
    <row r="151" spans="2:14" ht="14.4">
      <c r="B151" s="65"/>
      <c r="C151" s="96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</row>
    <row r="152" spans="2:14" ht="14.4">
      <c r="B152" s="65"/>
      <c r="C152" s="96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</row>
    <row r="153" spans="2:14" ht="14.4">
      <c r="B153" s="65"/>
      <c r="C153" s="96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</row>
    <row r="154" spans="2:14" ht="14.4">
      <c r="B154" s="65"/>
      <c r="C154" s="96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</row>
    <row r="155" spans="2:14" ht="14.4">
      <c r="B155" s="65"/>
      <c r="C155" s="96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</row>
    <row r="156" spans="2:14" ht="14.4">
      <c r="B156" s="65"/>
      <c r="C156" s="96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</row>
    <row r="157" spans="2:14" ht="14.4">
      <c r="B157" s="65"/>
      <c r="C157" s="96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</row>
    <row r="158" spans="2:14" ht="14.4">
      <c r="B158" s="65"/>
      <c r="C158" s="96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</row>
    <row r="159" spans="2:14" ht="14.4">
      <c r="B159" s="65"/>
      <c r="C159" s="96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</row>
    <row r="160" spans="2:14" ht="14.4">
      <c r="B160" s="65"/>
      <c r="C160" s="96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</row>
    <row r="161" spans="2:14" ht="14.4">
      <c r="B161" s="65"/>
      <c r="C161" s="96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</row>
    <row r="162" spans="2:14" ht="14.4">
      <c r="B162" s="65"/>
      <c r="C162" s="96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</row>
    <row r="163" spans="2:14" ht="14.4">
      <c r="B163" s="65"/>
      <c r="C163" s="96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</row>
    <row r="164" spans="2:14" ht="14.4">
      <c r="B164" s="65"/>
      <c r="C164" s="96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</row>
    <row r="165" spans="2:14" ht="14.4">
      <c r="B165" s="65"/>
      <c r="C165" s="96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</row>
    <row r="166" spans="2:14" ht="14.4">
      <c r="B166" s="65"/>
      <c r="C166" s="96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</row>
    <row r="167" spans="2:14" ht="14.4">
      <c r="B167" s="65"/>
      <c r="C167" s="96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</row>
    <row r="168" spans="2:14" ht="14.4">
      <c r="B168" s="65"/>
      <c r="C168" s="96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</row>
    <row r="169" spans="2:14" ht="14.4">
      <c r="B169" s="65"/>
      <c r="C169" s="96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</row>
    <row r="170" spans="2:14" ht="14.4">
      <c r="B170" s="65"/>
      <c r="C170" s="96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</row>
    <row r="171" spans="2:14" ht="14.4">
      <c r="B171" s="65"/>
      <c r="C171" s="96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</row>
    <row r="172" spans="2:14" ht="14.4">
      <c r="B172" s="65"/>
      <c r="C172" s="96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</row>
    <row r="173" spans="2:14" ht="14.4">
      <c r="B173" s="65"/>
      <c r="C173" s="96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</row>
    <row r="174" spans="2:14" ht="14.4">
      <c r="B174" s="65"/>
      <c r="C174" s="96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</row>
    <row r="175" spans="2:14" ht="14.4">
      <c r="B175" s="65"/>
      <c r="C175" s="96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</row>
    <row r="176" spans="2:14" ht="14.4">
      <c r="B176" s="65"/>
      <c r="C176" s="96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</row>
    <row r="177" spans="2:14" ht="14.4">
      <c r="B177" s="65"/>
      <c r="C177" s="96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</row>
    <row r="178" spans="2:14" ht="14.4">
      <c r="B178" s="65"/>
      <c r="C178" s="96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</row>
    <row r="179" spans="2:14" ht="14.4">
      <c r="B179" s="65"/>
      <c r="C179" s="96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</row>
    <row r="180" spans="2:14" ht="14.4">
      <c r="B180" s="65"/>
      <c r="C180" s="96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</row>
    <row r="181" spans="2:14" ht="14.4">
      <c r="B181" s="65"/>
      <c r="C181" s="96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</row>
    <row r="182" spans="2:14" ht="14.4">
      <c r="B182" s="65"/>
      <c r="C182" s="96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</row>
    <row r="183" spans="2:14" ht="14.4">
      <c r="B183" s="65"/>
      <c r="C183" s="96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D743-6D9A-4F78-BF6A-106D31395382}">
  <sheetPr>
    <tabColor rgb="FFFFFF00"/>
  </sheetPr>
  <dimension ref="A1:P2685"/>
  <sheetViews>
    <sheetView zoomScaleNormal="100" workbookViewId="0">
      <selection activeCell="K2" sqref="K2"/>
    </sheetView>
  </sheetViews>
  <sheetFormatPr defaultColWidth="9.109375" defaultRowHeight="19.5" customHeight="1"/>
  <cols>
    <col min="1" max="1" width="14.77734375" style="10" bestFit="1" customWidth="1"/>
    <col min="2" max="2" width="9.21875" style="11" bestFit="1" customWidth="1"/>
    <col min="3" max="3" width="7.6640625" style="10" bestFit="1" customWidth="1"/>
    <col min="4" max="4" width="9.21875" style="11" bestFit="1" customWidth="1"/>
    <col min="5" max="5" width="7.6640625" style="11" bestFit="1" customWidth="1"/>
    <col min="6" max="6" width="6.6640625" bestFit="1" customWidth="1"/>
    <col min="7" max="7" width="3.109375" style="10" customWidth="1"/>
    <col min="8" max="8" width="35.44140625" style="8" bestFit="1" customWidth="1"/>
    <col min="9" max="9" width="6.77734375" style="10" bestFit="1" customWidth="1"/>
    <col min="10" max="10" width="3.44140625" style="10" customWidth="1"/>
    <col min="11" max="11" width="13.5546875" style="10" bestFit="1" customWidth="1"/>
    <col min="12" max="12" width="43.77734375" style="10" bestFit="1" customWidth="1"/>
    <col min="13" max="13" width="5.77734375" style="10" bestFit="1" customWidth="1"/>
    <col min="14" max="14" width="2.88671875" style="10" customWidth="1"/>
    <col min="15" max="15" width="29.6640625" style="10" bestFit="1" customWidth="1"/>
    <col min="16" max="16" width="6.77734375" style="10" bestFit="1" customWidth="1"/>
    <col min="17" max="16384" width="9.109375" style="10"/>
  </cols>
  <sheetData>
    <row r="1" spans="1:16" s="12" customFormat="1" ht="14.4">
      <c r="A1" s="573" t="s">
        <v>755</v>
      </c>
      <c r="B1" s="574"/>
      <c r="C1" s="575"/>
      <c r="D1" s="574"/>
      <c r="E1" s="574"/>
      <c r="F1" s="165"/>
      <c r="G1" s="575"/>
      <c r="H1" s="315"/>
      <c r="I1" s="575"/>
      <c r="J1" s="575"/>
      <c r="K1" s="297" t="s">
        <v>756</v>
      </c>
      <c r="L1" s="575"/>
      <c r="M1" s="575"/>
      <c r="N1" s="575"/>
      <c r="O1" s="297" t="s">
        <v>757</v>
      </c>
      <c r="P1" s="575"/>
    </row>
    <row r="2" spans="1:16" s="14" customFormat="1" ht="15" thickBot="1">
      <c r="A2" s="576" t="s">
        <v>758</v>
      </c>
      <c r="B2" s="577"/>
      <c r="C2" s="578"/>
      <c r="D2" s="577"/>
      <c r="E2" s="577"/>
      <c r="F2" s="165"/>
      <c r="G2" s="578"/>
      <c r="H2" s="576" t="s">
        <v>759</v>
      </c>
      <c r="I2" s="578"/>
      <c r="J2" s="578"/>
      <c r="K2" s="576" t="s">
        <v>760</v>
      </c>
      <c r="L2" s="579"/>
      <c r="M2" s="578"/>
      <c r="N2" s="578"/>
      <c r="O2" s="578"/>
      <c r="P2" s="578"/>
    </row>
    <row r="3" spans="1:16" ht="15" customHeight="1" thickBot="1">
      <c r="A3" s="674" t="s">
        <v>761</v>
      </c>
      <c r="B3" s="677" t="s">
        <v>1107</v>
      </c>
      <c r="C3" s="677"/>
      <c r="D3" s="677" t="s">
        <v>1108</v>
      </c>
      <c r="E3" s="678"/>
      <c r="F3" s="165"/>
      <c r="G3" s="580"/>
      <c r="H3" s="581" t="s">
        <v>762</v>
      </c>
      <c r="I3" s="582" t="s">
        <v>763</v>
      </c>
      <c r="J3" s="575"/>
      <c r="K3" s="583" t="s">
        <v>764</v>
      </c>
      <c r="L3" s="584" t="s">
        <v>1101</v>
      </c>
      <c r="M3" s="585"/>
      <c r="N3" s="580"/>
      <c r="O3" s="581" t="s">
        <v>762</v>
      </c>
      <c r="P3" s="582" t="s">
        <v>763</v>
      </c>
    </row>
    <row r="4" spans="1:16" ht="15" customHeight="1" thickTop="1">
      <c r="A4" s="675"/>
      <c r="B4" s="586" t="s">
        <v>765</v>
      </c>
      <c r="C4" s="587" t="s">
        <v>766</v>
      </c>
      <c r="D4" s="586" t="s">
        <v>765</v>
      </c>
      <c r="E4" s="588" t="s">
        <v>766</v>
      </c>
      <c r="F4" s="165"/>
      <c r="G4" s="580"/>
      <c r="H4" s="589" t="s">
        <v>767</v>
      </c>
      <c r="I4" s="590">
        <v>4.2250000000000003E-2</v>
      </c>
      <c r="J4" s="575"/>
      <c r="K4" s="575"/>
      <c r="L4" s="299" t="s">
        <v>768</v>
      </c>
      <c r="M4" s="591">
        <f>I4</f>
        <v>4.2250000000000003E-2</v>
      </c>
      <c r="N4" s="580"/>
      <c r="O4" s="592" t="s">
        <v>769</v>
      </c>
      <c r="P4" s="593">
        <v>4.2000000000000003E-2</v>
      </c>
    </row>
    <row r="5" spans="1:16" ht="15" customHeight="1" thickBot="1">
      <c r="A5" s="676"/>
      <c r="B5" s="594" t="s">
        <v>770</v>
      </c>
      <c r="C5" s="595" t="s">
        <v>677</v>
      </c>
      <c r="D5" s="594" t="s">
        <v>770</v>
      </c>
      <c r="E5" s="596" t="s">
        <v>677</v>
      </c>
      <c r="F5" s="165"/>
      <c r="G5" s="580"/>
      <c r="H5" s="589" t="s">
        <v>771</v>
      </c>
      <c r="I5" s="590">
        <v>1.26E-2</v>
      </c>
      <c r="J5" s="575"/>
      <c r="K5" s="575"/>
      <c r="L5" s="299" t="s">
        <v>1102</v>
      </c>
      <c r="M5" s="597">
        <f>I5</f>
        <v>1.26E-2</v>
      </c>
      <c r="N5" s="580"/>
      <c r="O5" s="592" t="s">
        <v>773</v>
      </c>
      <c r="P5" s="598">
        <f>I9</f>
        <v>0.82336142947985613</v>
      </c>
    </row>
    <row r="6" spans="1:16" ht="14.4">
      <c r="A6" s="599">
        <v>46136</v>
      </c>
      <c r="B6" s="600">
        <v>1853.29</v>
      </c>
      <c r="C6" s="601">
        <f t="shared" ref="C6:C69" si="0">(B6-B7)/B7</f>
        <v>-9.1265852563142593E-3</v>
      </c>
      <c r="D6" s="602">
        <v>9990</v>
      </c>
      <c r="E6" s="603">
        <f t="shared" ref="E6:E69" si="1">(D6-D7)/D7</f>
        <v>1.002004008016032E-3</v>
      </c>
      <c r="F6" s="165"/>
      <c r="G6" s="580"/>
      <c r="H6" s="589" t="s">
        <v>774</v>
      </c>
      <c r="I6" s="590">
        <v>2.8299999999999999E-2</v>
      </c>
      <c r="J6" s="575"/>
      <c r="K6" s="575"/>
      <c r="L6" s="297" t="s">
        <v>772</v>
      </c>
      <c r="M6" s="604">
        <f>I11</f>
        <v>1.3</v>
      </c>
      <c r="N6" s="580"/>
      <c r="O6" s="592" t="s">
        <v>775</v>
      </c>
      <c r="P6" s="605">
        <f>M16</f>
        <v>8.1119999999999998E-2</v>
      </c>
    </row>
    <row r="7" spans="1:16" ht="14.4">
      <c r="A7" s="599">
        <v>46135</v>
      </c>
      <c r="B7" s="600">
        <v>1870.36</v>
      </c>
      <c r="C7" s="601">
        <f t="shared" si="0"/>
        <v>7.0317127012329431E-3</v>
      </c>
      <c r="D7" s="602">
        <v>9980</v>
      </c>
      <c r="E7" s="603">
        <f t="shared" si="1"/>
        <v>-2.1568627450980392E-2</v>
      </c>
      <c r="F7" s="165"/>
      <c r="G7" s="580"/>
      <c r="H7" s="589" t="s">
        <v>775</v>
      </c>
      <c r="I7" s="590">
        <v>8.3199999999999996E-2</v>
      </c>
      <c r="J7" s="575"/>
      <c r="K7" s="575"/>
      <c r="L7" s="299" t="s">
        <v>775</v>
      </c>
      <c r="M7" s="606">
        <f>M4+M5*M6</f>
        <v>5.8630000000000002E-2</v>
      </c>
      <c r="N7" s="580"/>
      <c r="O7" s="592" t="s">
        <v>776</v>
      </c>
      <c r="P7" s="605">
        <f>P4+P5*P6</f>
        <v>0.10879107915940592</v>
      </c>
    </row>
    <row r="8" spans="1:16" ht="15" thickBot="1">
      <c r="A8" s="599">
        <v>46134</v>
      </c>
      <c r="B8" s="600">
        <v>1857.3</v>
      </c>
      <c r="C8" s="601">
        <f t="shared" si="0"/>
        <v>1.2991687937692223E-2</v>
      </c>
      <c r="D8" s="602">
        <v>10200</v>
      </c>
      <c r="E8" s="603">
        <f t="shared" si="1"/>
        <v>4.9261083743842365E-3</v>
      </c>
      <c r="F8" s="165"/>
      <c r="G8" s="580"/>
      <c r="H8" s="592" t="s">
        <v>777</v>
      </c>
      <c r="I8" s="590">
        <v>0.2</v>
      </c>
      <c r="J8" s="575"/>
      <c r="K8" s="583"/>
      <c r="L8" s="584"/>
      <c r="M8" s="607"/>
      <c r="N8" s="580"/>
      <c r="O8" s="592" t="s">
        <v>779</v>
      </c>
      <c r="P8" s="605">
        <f>OD_IS!H57</f>
        <v>7.5923966547723681E-2</v>
      </c>
    </row>
    <row r="9" spans="1:16" ht="15" thickTop="1">
      <c r="A9" s="599">
        <v>46133</v>
      </c>
      <c r="B9" s="600">
        <v>1833.48</v>
      </c>
      <c r="C9" s="601">
        <f t="shared" si="0"/>
        <v>-1.975929585054723E-3</v>
      </c>
      <c r="D9" s="602">
        <v>10150</v>
      </c>
      <c r="E9" s="603">
        <f t="shared" si="1"/>
        <v>-9.7560975609756097E-3</v>
      </c>
      <c r="F9" s="165"/>
      <c r="G9" s="580"/>
      <c r="H9" s="592" t="s">
        <v>1099</v>
      </c>
      <c r="I9" s="608">
        <f>SLOPE(E6:E250,C6:C250)</f>
        <v>0.82336142947985613</v>
      </c>
      <c r="J9" s="575"/>
      <c r="K9" s="575" t="s">
        <v>778</v>
      </c>
      <c r="L9" s="579" t="s">
        <v>1103</v>
      </c>
      <c r="M9" s="591"/>
      <c r="N9" s="580"/>
      <c r="O9" s="592" t="s">
        <v>780</v>
      </c>
      <c r="P9" s="605">
        <v>0.2</v>
      </c>
    </row>
    <row r="10" spans="1:16" ht="14.4">
      <c r="A10" s="599">
        <v>46132</v>
      </c>
      <c r="B10" s="600">
        <v>1837.11</v>
      </c>
      <c r="C10" s="601">
        <f t="shared" si="0"/>
        <v>1.0973106533785956E-2</v>
      </c>
      <c r="D10" s="602">
        <v>10250</v>
      </c>
      <c r="E10" s="603">
        <f t="shared" si="1"/>
        <v>-4.8543689320388345E-3</v>
      </c>
      <c r="F10" s="165"/>
      <c r="G10" s="580"/>
      <c r="H10" s="592" t="s">
        <v>977</v>
      </c>
      <c r="I10" s="609">
        <f>('IP_BS Raw'!H83+'IP_BS Raw'!H96)/'IP_BS Raw'!H103</f>
        <v>0.38494461896305093</v>
      </c>
      <c r="J10" s="575"/>
      <c r="K10" s="575"/>
      <c r="L10" s="299" t="s">
        <v>768</v>
      </c>
      <c r="M10" s="591">
        <f>I4</f>
        <v>4.2250000000000003E-2</v>
      </c>
      <c r="N10" s="580"/>
      <c r="O10" s="592" t="s">
        <v>781</v>
      </c>
      <c r="P10" s="605">
        <f>P8*(1-P9)</f>
        <v>6.0739173238178949E-2</v>
      </c>
    </row>
    <row r="11" spans="1:16" ht="14.4">
      <c r="A11" s="599">
        <v>46129</v>
      </c>
      <c r="B11" s="600">
        <v>1817.17</v>
      </c>
      <c r="C11" s="601">
        <f t="shared" si="0"/>
        <v>-1.4616749916200164E-3</v>
      </c>
      <c r="D11" s="602">
        <v>10300</v>
      </c>
      <c r="E11" s="603">
        <f t="shared" si="1"/>
        <v>4.8780487804878049E-3</v>
      </c>
      <c r="F11" s="165"/>
      <c r="G11" s="580"/>
      <c r="H11" s="592" t="s">
        <v>782</v>
      </c>
      <c r="I11" s="609">
        <v>1.3</v>
      </c>
      <c r="J11" s="575"/>
      <c r="K11" s="575"/>
      <c r="L11" s="299" t="s">
        <v>1104</v>
      </c>
      <c r="M11" s="591">
        <f>I6</f>
        <v>2.8299999999999999E-2</v>
      </c>
      <c r="N11" s="580"/>
      <c r="O11" s="592" t="s">
        <v>783</v>
      </c>
      <c r="P11" s="598">
        <f>I10</f>
        <v>0.38494461896305093</v>
      </c>
    </row>
    <row r="12" spans="1:16" ht="14.4">
      <c r="A12" s="599">
        <v>46128</v>
      </c>
      <c r="B12" s="600">
        <v>1819.83</v>
      </c>
      <c r="C12" s="601">
        <f t="shared" si="0"/>
        <v>1.0651709105045308E-2</v>
      </c>
      <c r="D12" s="602">
        <v>10250</v>
      </c>
      <c r="E12" s="603">
        <f t="shared" si="1"/>
        <v>-4.8543689320388345E-3</v>
      </c>
      <c r="F12" s="165"/>
      <c r="G12" s="580"/>
      <c r="H12" s="592" t="s">
        <v>1100</v>
      </c>
      <c r="I12" s="610">
        <f>_xlfn.STDEV.S(C6:C250)</f>
        <v>1.3145250766797394E-2</v>
      </c>
      <c r="J12" s="575"/>
      <c r="K12" s="575"/>
      <c r="L12" s="297" t="s">
        <v>772</v>
      </c>
      <c r="M12" s="604">
        <f>I11</f>
        <v>1.3</v>
      </c>
      <c r="N12" s="580"/>
      <c r="O12" s="592" t="s">
        <v>784</v>
      </c>
      <c r="P12" s="605">
        <f>P11/(1+P11)</f>
        <v>0.27794946721499258</v>
      </c>
    </row>
    <row r="13" spans="1:16" ht="14.4">
      <c r="A13" s="599">
        <v>46127</v>
      </c>
      <c r="B13" s="600">
        <v>1800.65</v>
      </c>
      <c r="C13" s="601">
        <f t="shared" si="0"/>
        <v>1.407935122349562E-2</v>
      </c>
      <c r="D13" s="602">
        <v>10300</v>
      </c>
      <c r="E13" s="603">
        <f t="shared" si="1"/>
        <v>-1.9047619047619049E-2</v>
      </c>
      <c r="F13" s="165"/>
      <c r="G13" s="580"/>
      <c r="H13" s="592"/>
      <c r="I13" s="611"/>
      <c r="J13" s="575"/>
      <c r="K13" s="575"/>
      <c r="L13" s="299" t="s">
        <v>775</v>
      </c>
      <c r="M13" s="606">
        <f>M10+M11*M12</f>
        <v>7.9039999999999999E-2</v>
      </c>
      <c r="N13" s="580"/>
      <c r="O13" s="612" t="s">
        <v>785</v>
      </c>
      <c r="P13" s="613">
        <f>P7*(1-P12)+P12*P10</f>
        <v>9.5435077509935934E-2</v>
      </c>
    </row>
    <row r="14" spans="1:16" ht="15" thickBot="1">
      <c r="A14" s="599">
        <v>46126</v>
      </c>
      <c r="B14" s="600">
        <v>1775.65</v>
      </c>
      <c r="C14" s="601">
        <f t="shared" si="0"/>
        <v>9.4885614226588744E-3</v>
      </c>
      <c r="D14" s="602">
        <v>10500</v>
      </c>
      <c r="E14" s="603">
        <f t="shared" si="1"/>
        <v>-1.8691588785046728E-2</v>
      </c>
      <c r="F14" s="165"/>
      <c r="G14" s="580"/>
      <c r="H14" s="592"/>
      <c r="I14" s="614"/>
      <c r="J14" s="575"/>
      <c r="K14" s="583"/>
      <c r="L14" s="584"/>
      <c r="M14" s="607"/>
      <c r="N14" s="580"/>
      <c r="O14" s="580"/>
      <c r="P14" s="580"/>
    </row>
    <row r="15" spans="1:16" ht="15" thickTop="1">
      <c r="A15" s="599">
        <v>46125</v>
      </c>
      <c r="B15" s="600">
        <v>1758.96</v>
      </c>
      <c r="C15" s="601">
        <f t="shared" si="0"/>
        <v>5.1200000000000204E-3</v>
      </c>
      <c r="D15" s="602">
        <v>10700</v>
      </c>
      <c r="E15" s="603">
        <f t="shared" si="1"/>
        <v>3.3816425120772944E-2</v>
      </c>
      <c r="F15" s="165"/>
      <c r="G15" s="580"/>
      <c r="H15" s="615"/>
      <c r="I15" s="616"/>
      <c r="J15" s="575"/>
      <c r="K15" s="575" t="s">
        <v>786</v>
      </c>
      <c r="L15" s="299" t="s">
        <v>1105</v>
      </c>
      <c r="M15" s="591">
        <f>MAX(M7,M13)</f>
        <v>7.9039999999999999E-2</v>
      </c>
      <c r="N15" s="580"/>
      <c r="O15" s="580"/>
      <c r="P15" s="580"/>
    </row>
    <row r="16" spans="1:16" ht="14.4">
      <c r="A16" s="599">
        <v>46122</v>
      </c>
      <c r="B16" s="600">
        <v>1750</v>
      </c>
      <c r="C16" s="601">
        <f t="shared" si="0"/>
        <v>7.6698067577215924E-3</v>
      </c>
      <c r="D16" s="602">
        <v>10350</v>
      </c>
      <c r="E16" s="603">
        <f t="shared" si="1"/>
        <v>3.5000000000000003E-2</v>
      </c>
      <c r="F16" s="165"/>
      <c r="G16" s="580"/>
      <c r="H16" s="299"/>
      <c r="I16" s="580"/>
      <c r="J16" s="575"/>
      <c r="K16" s="575" t="s">
        <v>787</v>
      </c>
      <c r="L16" s="299" t="s">
        <v>1106</v>
      </c>
      <c r="M16" s="606">
        <f>AVERAGE(M15,I7)</f>
        <v>8.1119999999999998E-2</v>
      </c>
      <c r="N16" s="580"/>
      <c r="O16" s="580"/>
      <c r="P16" s="580"/>
    </row>
    <row r="17" spans="1:16" ht="14.4">
      <c r="A17" s="599">
        <v>46121</v>
      </c>
      <c r="B17" s="600">
        <v>1736.68</v>
      </c>
      <c r="C17" s="601">
        <f t="shared" si="0"/>
        <v>-1.1311946713728553E-2</v>
      </c>
      <c r="D17" s="602">
        <v>10000</v>
      </c>
      <c r="E17" s="603">
        <f t="shared" si="1"/>
        <v>-9.9009900990099011E-3</v>
      </c>
      <c r="F17" s="165"/>
      <c r="G17" s="580"/>
      <c r="H17" s="575"/>
      <c r="I17" s="575"/>
      <c r="J17" s="575"/>
      <c r="K17" s="575"/>
      <c r="L17" s="299"/>
      <c r="M17" s="617"/>
      <c r="N17" s="580"/>
      <c r="O17" s="580"/>
      <c r="P17" s="580"/>
    </row>
    <row r="18" spans="1:16" ht="14.4">
      <c r="A18" s="599">
        <v>46120</v>
      </c>
      <c r="B18" s="600">
        <v>1756.55</v>
      </c>
      <c r="C18" s="601">
        <f t="shared" si="0"/>
        <v>4.7098727899185705E-2</v>
      </c>
      <c r="D18" s="602">
        <v>10100</v>
      </c>
      <c r="E18" s="603">
        <f t="shared" si="1"/>
        <v>2.6422764227642278E-2</v>
      </c>
      <c r="F18" s="165"/>
      <c r="G18" s="580"/>
      <c r="H18" s="575"/>
      <c r="I18" s="575"/>
      <c r="J18" s="575"/>
      <c r="K18" s="575"/>
      <c r="L18" s="297"/>
      <c r="M18" s="306"/>
      <c r="N18" s="580"/>
      <c r="O18" s="580"/>
      <c r="P18" s="580"/>
    </row>
    <row r="19" spans="1:16" ht="15" thickBot="1">
      <c r="A19" s="599">
        <v>46119</v>
      </c>
      <c r="B19" s="600">
        <v>1677.54</v>
      </c>
      <c r="C19" s="601">
        <f t="shared" si="0"/>
        <v>1.5223971486396663E-3</v>
      </c>
      <c r="D19" s="602">
        <v>9840</v>
      </c>
      <c r="E19" s="603">
        <f t="shared" si="1"/>
        <v>5.1072522982635342E-3</v>
      </c>
      <c r="F19" s="165"/>
      <c r="G19" s="580"/>
      <c r="H19" s="575"/>
      <c r="I19" s="575"/>
      <c r="J19" s="575"/>
      <c r="K19" s="583"/>
      <c r="L19" s="584"/>
      <c r="M19" s="618"/>
      <c r="N19" s="580"/>
      <c r="O19" s="580"/>
      <c r="P19" s="580"/>
    </row>
    <row r="20" spans="1:16" ht="15.6" thickTop="1" thickBot="1">
      <c r="A20" s="599">
        <v>46118</v>
      </c>
      <c r="B20" s="600">
        <v>1674.99</v>
      </c>
      <c r="C20" s="601">
        <f t="shared" si="0"/>
        <v>-5.3739816156385565E-3</v>
      </c>
      <c r="D20" s="602">
        <v>9790</v>
      </c>
      <c r="E20" s="603">
        <f t="shared" si="1"/>
        <v>-1.5090543259557344E-2</v>
      </c>
      <c r="F20" s="165"/>
      <c r="G20" s="580"/>
      <c r="H20" s="575"/>
      <c r="I20" s="575"/>
      <c r="J20" s="575"/>
      <c r="K20" s="583"/>
      <c r="L20" s="584"/>
      <c r="M20" s="618"/>
      <c r="N20" s="580"/>
      <c r="O20" s="580"/>
      <c r="P20" s="580"/>
    </row>
    <row r="21" spans="1:16" ht="15" thickTop="1">
      <c r="A21" s="599">
        <v>46115</v>
      </c>
      <c r="B21" s="600">
        <v>1684.04</v>
      </c>
      <c r="C21" s="601">
        <f t="shared" si="0"/>
        <v>-6.3605574633294236E-3</v>
      </c>
      <c r="D21" s="602">
        <v>9940</v>
      </c>
      <c r="E21" s="603">
        <f t="shared" si="1"/>
        <v>-6.0000000000000001E-3</v>
      </c>
      <c r="F21" s="165"/>
      <c r="G21" s="580"/>
      <c r="H21" s="575"/>
      <c r="I21" s="575"/>
      <c r="J21" s="575"/>
      <c r="K21" s="580"/>
      <c r="L21" s="580"/>
      <c r="M21" s="580"/>
      <c r="N21" s="580"/>
      <c r="O21" s="580"/>
      <c r="P21" s="580"/>
    </row>
    <row r="22" spans="1:16" ht="14.4">
      <c r="A22" s="599">
        <v>46114</v>
      </c>
      <c r="B22" s="600">
        <v>1694.82</v>
      </c>
      <c r="C22" s="601">
        <f t="shared" si="0"/>
        <v>-4.7623801330648509E-3</v>
      </c>
      <c r="D22" s="602">
        <v>10000</v>
      </c>
      <c r="E22" s="603">
        <f t="shared" si="1"/>
        <v>-1.4778325123152709E-2</v>
      </c>
      <c r="F22" s="165"/>
      <c r="G22" s="580"/>
      <c r="H22" s="575"/>
      <c r="I22" s="575"/>
      <c r="J22" s="575"/>
      <c r="K22" s="580"/>
      <c r="L22" s="580"/>
      <c r="M22" s="580"/>
      <c r="N22" s="580"/>
      <c r="O22" s="580"/>
      <c r="P22" s="580"/>
    </row>
    <row r="23" spans="1:16" ht="14.4">
      <c r="A23" s="599">
        <v>46113</v>
      </c>
      <c r="B23" s="600">
        <v>1702.93</v>
      </c>
      <c r="C23" s="601">
        <f t="shared" si="0"/>
        <v>1.6984275809350941E-2</v>
      </c>
      <c r="D23" s="602">
        <v>10150</v>
      </c>
      <c r="E23" s="603">
        <f t="shared" si="1"/>
        <v>1.4999999999999999E-2</v>
      </c>
      <c r="F23" s="165"/>
      <c r="G23" s="580"/>
      <c r="H23" s="299"/>
      <c r="I23" s="580"/>
      <c r="J23" s="575"/>
      <c r="K23" s="580"/>
      <c r="L23" s="580"/>
      <c r="M23" s="580"/>
      <c r="N23" s="580"/>
      <c r="O23" s="580"/>
      <c r="P23" s="580"/>
    </row>
    <row r="24" spans="1:16" ht="14.4">
      <c r="A24" s="599">
        <v>46112</v>
      </c>
      <c r="B24" s="600">
        <v>1674.49</v>
      </c>
      <c r="C24" s="601">
        <f t="shared" si="0"/>
        <v>7.187796985335719E-3</v>
      </c>
      <c r="D24" s="602">
        <v>10000</v>
      </c>
      <c r="E24" s="603">
        <f t="shared" si="1"/>
        <v>5.0251256281407036E-3</v>
      </c>
      <c r="F24" s="165"/>
      <c r="G24" s="580"/>
      <c r="H24" s="299"/>
      <c r="I24" s="580"/>
      <c r="J24" s="580"/>
      <c r="K24" s="580"/>
      <c r="L24" s="580"/>
      <c r="M24" s="580"/>
      <c r="N24" s="580"/>
      <c r="O24" s="580"/>
      <c r="P24" s="580"/>
    </row>
    <row r="25" spans="1:16" ht="14.4">
      <c r="A25" s="599">
        <v>46111</v>
      </c>
      <c r="B25" s="600">
        <v>1662.54</v>
      </c>
      <c r="C25" s="601">
        <f t="shared" si="0"/>
        <v>-6.1334289813486315E-3</v>
      </c>
      <c r="D25" s="602">
        <v>9950</v>
      </c>
      <c r="E25" s="603">
        <f t="shared" si="1"/>
        <v>-9.9502487562189053E-3</v>
      </c>
      <c r="F25" s="165"/>
      <c r="G25" s="580"/>
      <c r="H25" s="299"/>
      <c r="I25" s="580"/>
      <c r="J25" s="580"/>
      <c r="K25" s="580"/>
      <c r="L25" s="580"/>
      <c r="M25" s="580"/>
      <c r="N25" s="580"/>
      <c r="O25" s="580"/>
      <c r="P25" s="580"/>
    </row>
    <row r="26" spans="1:16" ht="14.4">
      <c r="A26" s="599">
        <v>46108</v>
      </c>
      <c r="B26" s="600">
        <v>1672.8</v>
      </c>
      <c r="C26" s="601">
        <f t="shared" si="0"/>
        <v>1.712847266558426E-2</v>
      </c>
      <c r="D26" s="602">
        <v>10050</v>
      </c>
      <c r="E26" s="603">
        <f t="shared" si="1"/>
        <v>5.0000000000000001E-3</v>
      </c>
      <c r="F26" s="165"/>
      <c r="G26" s="580"/>
      <c r="H26" s="299"/>
      <c r="I26" s="580"/>
      <c r="J26" s="580"/>
      <c r="K26" s="580"/>
      <c r="L26" s="580"/>
      <c r="M26" s="580"/>
      <c r="N26" s="580"/>
      <c r="O26" s="580"/>
      <c r="P26" s="580"/>
    </row>
    <row r="27" spans="1:16" ht="14.4">
      <c r="A27" s="599">
        <v>46107</v>
      </c>
      <c r="B27" s="600">
        <v>1644.63</v>
      </c>
      <c r="C27" s="601">
        <f t="shared" si="0"/>
        <v>-8.1775912289906126E-3</v>
      </c>
      <c r="D27" s="602">
        <v>10000</v>
      </c>
      <c r="E27" s="603">
        <f t="shared" si="1"/>
        <v>-9.9009900990099011E-3</v>
      </c>
      <c r="F27" s="165"/>
      <c r="G27" s="580"/>
      <c r="H27" s="299"/>
      <c r="I27" s="580"/>
      <c r="J27" s="580"/>
      <c r="K27" s="580"/>
      <c r="L27" s="580"/>
      <c r="M27" s="580"/>
      <c r="N27" s="580"/>
      <c r="O27" s="580"/>
      <c r="P27" s="580"/>
    </row>
    <row r="28" spans="1:16" ht="14.4">
      <c r="A28" s="599">
        <v>46106</v>
      </c>
      <c r="B28" s="600">
        <v>1658.19</v>
      </c>
      <c r="C28" s="601">
        <f t="shared" si="0"/>
        <v>2.6889278349238637E-2</v>
      </c>
      <c r="D28" s="602">
        <v>10100</v>
      </c>
      <c r="E28" s="603">
        <f t="shared" si="1"/>
        <v>1.7119838872104734E-2</v>
      </c>
      <c r="F28" s="165"/>
      <c r="G28" s="580"/>
      <c r="H28" s="299"/>
      <c r="I28" s="580"/>
      <c r="J28" s="580"/>
      <c r="K28" s="580"/>
      <c r="L28" s="580"/>
      <c r="M28" s="580"/>
      <c r="N28" s="580"/>
      <c r="O28" s="580"/>
      <c r="P28" s="580"/>
    </row>
    <row r="29" spans="1:16" ht="14.4">
      <c r="A29" s="599">
        <v>46105</v>
      </c>
      <c r="B29" s="600">
        <v>1614.77</v>
      </c>
      <c r="C29" s="601">
        <f t="shared" si="0"/>
        <v>1.483185329034604E-2</v>
      </c>
      <c r="D29" s="602">
        <v>9930</v>
      </c>
      <c r="E29" s="603">
        <f t="shared" si="1"/>
        <v>4.0444893832153692E-3</v>
      </c>
      <c r="F29" s="165"/>
      <c r="G29" s="580"/>
      <c r="H29" s="299"/>
      <c r="I29" s="580"/>
      <c r="J29" s="580"/>
      <c r="K29" s="580"/>
      <c r="L29" s="580"/>
      <c r="M29" s="580"/>
      <c r="N29" s="580"/>
      <c r="O29" s="580"/>
      <c r="P29" s="580"/>
    </row>
    <row r="30" spans="1:16" ht="14.4">
      <c r="A30" s="599">
        <v>46104</v>
      </c>
      <c r="B30" s="600">
        <v>1591.17</v>
      </c>
      <c r="C30" s="601">
        <f t="shared" si="0"/>
        <v>-3.4372894933275E-2</v>
      </c>
      <c r="D30" s="602">
        <v>9890</v>
      </c>
      <c r="E30" s="603">
        <f t="shared" si="1"/>
        <v>-6.6981132075471697E-2</v>
      </c>
      <c r="F30" s="165"/>
      <c r="G30" s="580"/>
      <c r="H30" s="299"/>
      <c r="I30" s="580"/>
      <c r="J30" s="580"/>
      <c r="K30" s="580"/>
      <c r="L30" s="580"/>
      <c r="M30" s="580"/>
      <c r="N30" s="580"/>
      <c r="O30" s="580"/>
      <c r="P30" s="580"/>
    </row>
    <row r="31" spans="1:16" ht="14.4">
      <c r="A31" s="599">
        <v>46101</v>
      </c>
      <c r="B31" s="600">
        <v>1647.81</v>
      </c>
      <c r="C31" s="601">
        <f t="shared" si="0"/>
        <v>-3.0203692477915264E-2</v>
      </c>
      <c r="D31" s="602">
        <v>10600</v>
      </c>
      <c r="E31" s="603">
        <f t="shared" si="1"/>
        <v>-1.8518518518518517E-2</v>
      </c>
      <c r="F31" s="165"/>
      <c r="G31" s="580"/>
      <c r="H31" s="299"/>
      <c r="I31" s="580"/>
      <c r="J31" s="580"/>
      <c r="K31" s="580"/>
      <c r="L31" s="580"/>
      <c r="M31" s="580"/>
      <c r="N31" s="580"/>
      <c r="O31" s="580"/>
      <c r="P31" s="580"/>
    </row>
    <row r="32" spans="1:16" ht="14.4">
      <c r="A32" s="599">
        <v>46100</v>
      </c>
      <c r="B32" s="600">
        <v>1699.13</v>
      </c>
      <c r="C32" s="601">
        <f t="shared" si="0"/>
        <v>-8.57728012696698E-3</v>
      </c>
      <c r="D32" s="602">
        <v>10800</v>
      </c>
      <c r="E32" s="603">
        <f t="shared" si="1"/>
        <v>-9.1743119266055051E-3</v>
      </c>
      <c r="F32" s="165"/>
      <c r="G32" s="580"/>
      <c r="H32" s="299"/>
      <c r="I32" s="580"/>
      <c r="J32" s="580"/>
      <c r="K32" s="580"/>
      <c r="L32" s="580"/>
      <c r="M32" s="580"/>
      <c r="N32" s="580"/>
      <c r="O32" s="580"/>
      <c r="P32" s="580"/>
    </row>
    <row r="33" spans="1:16" ht="14.4">
      <c r="A33" s="599">
        <v>46099</v>
      </c>
      <c r="B33" s="600">
        <v>1713.83</v>
      </c>
      <c r="C33" s="601">
        <f t="shared" si="0"/>
        <v>2.0698244157423382E-3</v>
      </c>
      <c r="D33" s="602">
        <v>10900</v>
      </c>
      <c r="E33" s="603">
        <f t="shared" si="1"/>
        <v>-1.8018018018018018E-2</v>
      </c>
      <c r="F33" s="165"/>
      <c r="G33" s="580"/>
      <c r="H33" s="299"/>
      <c r="I33" s="580"/>
      <c r="J33" s="580"/>
      <c r="K33" s="580"/>
      <c r="L33" s="580"/>
      <c r="M33" s="580"/>
      <c r="N33" s="580"/>
      <c r="O33" s="580"/>
      <c r="P33" s="580"/>
    </row>
    <row r="34" spans="1:16" ht="14.4">
      <c r="A34" s="599">
        <v>46098</v>
      </c>
      <c r="B34" s="600">
        <v>1710.29</v>
      </c>
      <c r="C34" s="601">
        <f t="shared" si="0"/>
        <v>1.0087348881709845E-2</v>
      </c>
      <c r="D34" s="602">
        <v>11100</v>
      </c>
      <c r="E34" s="603">
        <f t="shared" si="1"/>
        <v>1.834862385321101E-2</v>
      </c>
      <c r="F34" s="165"/>
      <c r="G34" s="580"/>
      <c r="H34" s="299"/>
      <c r="I34" s="580"/>
      <c r="J34" s="580"/>
      <c r="K34" s="580"/>
      <c r="L34" s="580"/>
      <c r="M34" s="580"/>
      <c r="N34" s="580"/>
      <c r="O34" s="580"/>
      <c r="P34" s="580"/>
    </row>
    <row r="35" spans="1:16" ht="14.4">
      <c r="A35" s="599">
        <v>46097</v>
      </c>
      <c r="B35" s="600">
        <v>1693.21</v>
      </c>
      <c r="C35" s="601">
        <f t="shared" si="0"/>
        <v>-1.7863038249304182E-3</v>
      </c>
      <c r="D35" s="602">
        <v>10900</v>
      </c>
      <c r="E35" s="603">
        <f t="shared" si="1"/>
        <v>-4.5662100456621002E-3</v>
      </c>
      <c r="F35" s="165"/>
      <c r="G35" s="580"/>
      <c r="H35" s="299"/>
      <c r="I35" s="580"/>
      <c r="J35" s="580"/>
      <c r="K35" s="580"/>
      <c r="L35" s="580"/>
      <c r="M35" s="580"/>
      <c r="N35" s="580"/>
      <c r="O35" s="580"/>
      <c r="P35" s="580"/>
    </row>
    <row r="36" spans="1:16" ht="14.4">
      <c r="A36" s="599">
        <v>46094</v>
      </c>
      <c r="B36" s="600">
        <v>1696.24</v>
      </c>
      <c r="C36" s="601">
        <f t="shared" si="0"/>
        <v>-7.8204970724316605E-3</v>
      </c>
      <c r="D36" s="602">
        <v>10950</v>
      </c>
      <c r="E36" s="603">
        <f t="shared" si="1"/>
        <v>4.5871559633027525E-3</v>
      </c>
      <c r="F36" s="165"/>
      <c r="G36" s="580"/>
      <c r="H36" s="299"/>
      <c r="I36" s="580"/>
      <c r="J36" s="580"/>
      <c r="K36" s="580"/>
      <c r="L36" s="580"/>
      <c r="M36" s="580"/>
      <c r="N36" s="580"/>
      <c r="O36" s="580"/>
      <c r="P36" s="580"/>
    </row>
    <row r="37" spans="1:16" ht="14.4">
      <c r="A37" s="599">
        <v>46093</v>
      </c>
      <c r="B37" s="600">
        <v>1709.61</v>
      </c>
      <c r="C37" s="601">
        <f t="shared" si="0"/>
        <v>-1.0836988092620676E-2</v>
      </c>
      <c r="D37" s="602">
        <v>10900</v>
      </c>
      <c r="E37" s="603">
        <f t="shared" si="1"/>
        <v>-1.3574660633484163E-2</v>
      </c>
      <c r="F37" s="165"/>
      <c r="G37" s="580"/>
      <c r="H37" s="299"/>
      <c r="I37" s="580"/>
      <c r="J37" s="580"/>
      <c r="K37" s="580"/>
      <c r="L37" s="580"/>
      <c r="M37" s="580"/>
      <c r="N37" s="580"/>
      <c r="O37" s="580"/>
      <c r="P37" s="580"/>
    </row>
    <row r="38" spans="1:16" ht="14.4">
      <c r="A38" s="599">
        <v>46092</v>
      </c>
      <c r="B38" s="600">
        <v>1728.34</v>
      </c>
      <c r="C38" s="601">
        <f t="shared" si="0"/>
        <v>3.0780149457575103E-2</v>
      </c>
      <c r="D38" s="602">
        <v>11050</v>
      </c>
      <c r="E38" s="603">
        <f t="shared" si="1"/>
        <v>2.7906976744186046E-2</v>
      </c>
      <c r="F38" s="165"/>
      <c r="G38" s="580"/>
      <c r="H38" s="299"/>
      <c r="I38" s="580"/>
      <c r="J38" s="580"/>
      <c r="K38" s="580"/>
      <c r="L38" s="580"/>
      <c r="M38" s="580"/>
      <c r="N38" s="580"/>
      <c r="O38" s="580"/>
      <c r="P38" s="580"/>
    </row>
    <row r="39" spans="1:16" ht="14.4">
      <c r="A39" s="599">
        <v>46091</v>
      </c>
      <c r="B39" s="600">
        <v>1676.73</v>
      </c>
      <c r="C39" s="601">
        <f t="shared" si="0"/>
        <v>1.4484598769353672E-2</v>
      </c>
      <c r="D39" s="602">
        <v>10750</v>
      </c>
      <c r="E39" s="603">
        <f t="shared" si="1"/>
        <v>-9.2165898617511521E-3</v>
      </c>
      <c r="F39" s="165"/>
      <c r="G39" s="580"/>
      <c r="H39" s="299"/>
      <c r="I39" s="580"/>
      <c r="J39" s="580"/>
      <c r="K39" s="580"/>
      <c r="L39" s="580"/>
      <c r="M39" s="580"/>
      <c r="N39" s="580"/>
      <c r="O39" s="580"/>
      <c r="P39" s="580"/>
    </row>
    <row r="40" spans="1:16" ht="14.4">
      <c r="A40" s="599">
        <v>46090</v>
      </c>
      <c r="B40" s="600">
        <v>1652.79</v>
      </c>
      <c r="C40" s="601">
        <f t="shared" si="0"/>
        <v>-6.5079418951941331E-2</v>
      </c>
      <c r="D40" s="602">
        <v>10850</v>
      </c>
      <c r="E40" s="603">
        <f t="shared" si="1"/>
        <v>-6.8669527896995708E-2</v>
      </c>
      <c r="F40" s="165"/>
      <c r="G40" s="580"/>
      <c r="H40" s="299"/>
      <c r="I40" s="580"/>
      <c r="J40" s="580"/>
      <c r="K40" s="580"/>
      <c r="L40" s="580"/>
      <c r="M40" s="580"/>
      <c r="N40" s="580"/>
      <c r="O40" s="580"/>
      <c r="P40" s="580"/>
    </row>
    <row r="41" spans="1:16" ht="14.4">
      <c r="A41" s="599">
        <v>46087</v>
      </c>
      <c r="B41" s="600">
        <v>1767.84</v>
      </c>
      <c r="C41" s="601">
        <f t="shared" si="0"/>
        <v>-2.2488125584044363E-2</v>
      </c>
      <c r="D41" s="602">
        <v>11650</v>
      </c>
      <c r="E41" s="603">
        <f t="shared" si="1"/>
        <v>-3.3195020746887967E-2</v>
      </c>
      <c r="F41" s="165"/>
      <c r="G41" s="580"/>
      <c r="H41" s="299"/>
      <c r="I41" s="580"/>
      <c r="J41" s="580"/>
      <c r="K41" s="580"/>
      <c r="L41" s="580"/>
      <c r="M41" s="580"/>
      <c r="N41" s="580"/>
      <c r="O41" s="580"/>
      <c r="P41" s="580"/>
    </row>
    <row r="42" spans="1:16" ht="14.4">
      <c r="A42" s="599">
        <v>46086</v>
      </c>
      <c r="B42" s="600">
        <v>1808.51</v>
      </c>
      <c r="C42" s="601">
        <f t="shared" si="0"/>
        <v>-5.367739664626261E-3</v>
      </c>
      <c r="D42" s="602">
        <v>12050</v>
      </c>
      <c r="E42" s="603">
        <f t="shared" si="1"/>
        <v>8.368200836820083E-3</v>
      </c>
      <c r="F42" s="165"/>
      <c r="G42" s="580"/>
      <c r="H42" s="299"/>
      <c r="I42" s="580"/>
      <c r="J42" s="580"/>
      <c r="K42" s="580"/>
      <c r="L42" s="580"/>
      <c r="M42" s="580"/>
      <c r="N42" s="580"/>
      <c r="O42" s="580"/>
      <c r="P42" s="580"/>
    </row>
    <row r="43" spans="1:16" ht="14.4">
      <c r="A43" s="599">
        <v>46085</v>
      </c>
      <c r="B43" s="600">
        <v>1818.27</v>
      </c>
      <c r="C43" s="601">
        <f t="shared" si="0"/>
        <v>2.8293457758363288E-3</v>
      </c>
      <c r="D43" s="602">
        <v>11950</v>
      </c>
      <c r="E43" s="603">
        <f t="shared" si="1"/>
        <v>-8.2987551867219917E-3</v>
      </c>
      <c r="F43" s="165"/>
      <c r="G43" s="580"/>
      <c r="H43" s="299"/>
      <c r="I43" s="580"/>
      <c r="J43" s="580"/>
      <c r="K43" s="580"/>
      <c r="L43" s="580"/>
      <c r="M43" s="580"/>
      <c r="N43" s="580"/>
      <c r="O43" s="580"/>
      <c r="P43" s="580"/>
    </row>
    <row r="44" spans="1:16" ht="14.4">
      <c r="A44" s="599">
        <v>46084</v>
      </c>
      <c r="B44" s="600">
        <v>1813.14</v>
      </c>
      <c r="C44" s="601">
        <f t="shared" si="0"/>
        <v>-1.7853854070743629E-2</v>
      </c>
      <c r="D44" s="602">
        <v>12050</v>
      </c>
      <c r="E44" s="603">
        <f t="shared" si="1"/>
        <v>8.368200836820083E-3</v>
      </c>
      <c r="F44" s="165"/>
      <c r="G44" s="580"/>
      <c r="H44" s="299"/>
      <c r="I44" s="580"/>
      <c r="J44" s="580"/>
      <c r="K44" s="580"/>
      <c r="L44" s="580"/>
      <c r="M44" s="580"/>
      <c r="N44" s="580"/>
      <c r="O44" s="580"/>
      <c r="P44" s="580"/>
    </row>
    <row r="45" spans="1:16" ht="14.4">
      <c r="A45" s="599">
        <v>46083</v>
      </c>
      <c r="B45" s="600">
        <v>1846.1</v>
      </c>
      <c r="C45" s="601">
        <f t="shared" si="0"/>
        <v>-1.8204251381406467E-2</v>
      </c>
      <c r="D45" s="602">
        <v>11950</v>
      </c>
      <c r="E45" s="603">
        <f t="shared" si="1"/>
        <v>-4.3999999999999997E-2</v>
      </c>
      <c r="F45" s="165"/>
      <c r="G45" s="580"/>
      <c r="H45" s="299"/>
      <c r="I45" s="580"/>
      <c r="J45" s="580"/>
      <c r="K45" s="580"/>
      <c r="L45" s="580"/>
      <c r="M45" s="580"/>
      <c r="N45" s="580"/>
      <c r="O45" s="580"/>
      <c r="P45" s="580"/>
    </row>
    <row r="46" spans="1:16" ht="14.4">
      <c r="A46" s="599">
        <v>46080</v>
      </c>
      <c r="B46" s="600">
        <v>1880.33</v>
      </c>
      <c r="C46" s="601">
        <f t="shared" si="0"/>
        <v>3.6709157072621732E-4</v>
      </c>
      <c r="D46" s="602">
        <v>12500</v>
      </c>
      <c r="E46" s="603">
        <f t="shared" si="1"/>
        <v>-1.9607843137254902E-2</v>
      </c>
      <c r="F46" s="165"/>
      <c r="G46" s="580"/>
      <c r="H46" s="299"/>
      <c r="I46" s="580"/>
      <c r="J46" s="580"/>
      <c r="K46" s="580"/>
      <c r="L46" s="580"/>
      <c r="M46" s="580"/>
      <c r="N46" s="580"/>
      <c r="O46" s="580"/>
      <c r="P46" s="580"/>
    </row>
    <row r="47" spans="1:16" ht="14.4">
      <c r="A47" s="599">
        <v>46079</v>
      </c>
      <c r="B47" s="600">
        <v>1879.64</v>
      </c>
      <c r="C47" s="601">
        <f t="shared" si="0"/>
        <v>1.0064968214475722E-2</v>
      </c>
      <c r="D47" s="602">
        <v>12750</v>
      </c>
      <c r="E47" s="603">
        <f t="shared" si="1"/>
        <v>0.02</v>
      </c>
      <c r="F47" s="165"/>
      <c r="G47" s="580"/>
      <c r="H47" s="299"/>
      <c r="I47" s="580"/>
      <c r="J47" s="580"/>
      <c r="K47" s="580"/>
      <c r="L47" s="580"/>
      <c r="M47" s="580"/>
      <c r="N47" s="580"/>
      <c r="O47" s="580"/>
      <c r="P47" s="580"/>
    </row>
    <row r="48" spans="1:16" ht="14.4">
      <c r="A48" s="599">
        <v>46078</v>
      </c>
      <c r="B48" s="600">
        <v>1860.91</v>
      </c>
      <c r="C48" s="601">
        <f t="shared" si="0"/>
        <v>-3.5928079587923718E-3</v>
      </c>
      <c r="D48" s="602">
        <v>12500</v>
      </c>
      <c r="E48" s="603">
        <f t="shared" si="1"/>
        <v>1.6260162601626018E-2</v>
      </c>
      <c r="F48" s="165"/>
      <c r="G48" s="580"/>
      <c r="H48" s="299"/>
      <c r="I48" s="580"/>
      <c r="J48" s="580"/>
      <c r="K48" s="580"/>
      <c r="L48" s="580"/>
      <c r="M48" s="580"/>
      <c r="N48" s="580"/>
      <c r="O48" s="580"/>
      <c r="P48" s="580"/>
    </row>
    <row r="49" spans="1:16" ht="14.4">
      <c r="A49" s="599">
        <v>46077</v>
      </c>
      <c r="B49" s="600">
        <v>1867.62</v>
      </c>
      <c r="C49" s="601">
        <f t="shared" si="0"/>
        <v>4.0212027051726162E-3</v>
      </c>
      <c r="D49" s="602">
        <v>12300</v>
      </c>
      <c r="E49" s="603">
        <f t="shared" si="1"/>
        <v>0</v>
      </c>
      <c r="F49" s="165"/>
      <c r="G49" s="580"/>
      <c r="H49" s="299"/>
      <c r="I49" s="580"/>
      <c r="J49" s="580"/>
      <c r="K49" s="580"/>
      <c r="L49" s="580"/>
      <c r="M49" s="580"/>
      <c r="N49" s="580"/>
      <c r="O49" s="580"/>
      <c r="P49" s="580"/>
    </row>
    <row r="50" spans="1:16" ht="14.4">
      <c r="A50" s="599">
        <v>46076</v>
      </c>
      <c r="B50" s="600">
        <v>1860.14</v>
      </c>
      <c r="C50" s="601">
        <f t="shared" si="0"/>
        <v>1.9763279224161188E-2</v>
      </c>
      <c r="D50" s="602">
        <v>12300</v>
      </c>
      <c r="E50" s="603">
        <f t="shared" si="1"/>
        <v>1.2345679012345678E-2</v>
      </c>
      <c r="F50" s="165"/>
      <c r="G50" s="580"/>
      <c r="H50" s="299"/>
      <c r="I50" s="580"/>
      <c r="J50" s="580"/>
      <c r="K50" s="580"/>
      <c r="L50" s="580"/>
      <c r="M50" s="580"/>
      <c r="N50" s="580"/>
      <c r="O50" s="580"/>
      <c r="P50" s="580"/>
    </row>
    <row r="51" spans="1:16" ht="14.4">
      <c r="A51" s="599">
        <v>46066</v>
      </c>
      <c r="B51" s="600">
        <v>1824.09</v>
      </c>
      <c r="C51" s="601">
        <f t="shared" si="0"/>
        <v>5.5124056689579903E-3</v>
      </c>
      <c r="D51" s="602">
        <v>12150</v>
      </c>
      <c r="E51" s="603">
        <f t="shared" si="1"/>
        <v>-4.0983606557377051E-3</v>
      </c>
      <c r="F51" s="165"/>
      <c r="G51" s="580"/>
      <c r="H51" s="299"/>
      <c r="I51" s="580"/>
      <c r="J51" s="580"/>
      <c r="K51" s="580"/>
      <c r="L51" s="580"/>
      <c r="M51" s="580"/>
      <c r="N51" s="580"/>
      <c r="O51" s="580"/>
      <c r="P51" s="580"/>
    </row>
    <row r="52" spans="1:16" ht="14.4">
      <c r="A52" s="599">
        <v>46065</v>
      </c>
      <c r="B52" s="600">
        <v>1814.09</v>
      </c>
      <c r="C52" s="601">
        <f t="shared" si="0"/>
        <v>9.5945682722542291E-3</v>
      </c>
      <c r="D52" s="602">
        <v>12200</v>
      </c>
      <c r="E52" s="603">
        <f t="shared" si="1"/>
        <v>-8.130081300813009E-3</v>
      </c>
      <c r="F52" s="165"/>
      <c r="G52" s="580"/>
      <c r="H52" s="299"/>
      <c r="I52" s="580"/>
      <c r="J52" s="580"/>
      <c r="K52" s="580"/>
      <c r="L52" s="580"/>
      <c r="M52" s="580"/>
      <c r="N52" s="580"/>
      <c r="O52" s="580"/>
      <c r="P52" s="580"/>
    </row>
    <row r="53" spans="1:16" ht="14.4">
      <c r="A53" s="599">
        <v>46064</v>
      </c>
      <c r="B53" s="600">
        <v>1796.85</v>
      </c>
      <c r="C53" s="601">
        <f t="shared" si="0"/>
        <v>2.4412353266477733E-2</v>
      </c>
      <c r="D53" s="602">
        <v>12300</v>
      </c>
      <c r="E53" s="603">
        <f t="shared" si="1"/>
        <v>1.2345679012345678E-2</v>
      </c>
      <c r="F53" s="165"/>
      <c r="G53" s="580"/>
      <c r="H53" s="299"/>
      <c r="I53" s="580"/>
      <c r="J53" s="580"/>
      <c r="K53" s="580"/>
      <c r="L53" s="580"/>
      <c r="M53" s="580"/>
      <c r="N53" s="580"/>
      <c r="O53" s="580"/>
      <c r="P53" s="580"/>
    </row>
    <row r="54" spans="1:16" ht="14.4">
      <c r="A54" s="599">
        <v>46063</v>
      </c>
      <c r="B54" s="600">
        <v>1754.03</v>
      </c>
      <c r="C54" s="601">
        <f t="shared" si="0"/>
        <v>-4.5018862333456633E-4</v>
      </c>
      <c r="D54" s="602">
        <v>12150</v>
      </c>
      <c r="E54" s="603">
        <f t="shared" si="1"/>
        <v>0</v>
      </c>
      <c r="F54" s="165"/>
      <c r="G54" s="580"/>
      <c r="H54" s="299"/>
      <c r="I54" s="580"/>
      <c r="J54" s="580"/>
      <c r="K54" s="580"/>
      <c r="L54" s="580"/>
      <c r="M54" s="580"/>
      <c r="N54" s="580"/>
      <c r="O54" s="580"/>
      <c r="P54" s="580"/>
    </row>
    <row r="55" spans="1:16" ht="14.4">
      <c r="A55" s="599">
        <v>46062</v>
      </c>
      <c r="B55" s="600">
        <v>1754.82</v>
      </c>
      <c r="C55" s="601">
        <f t="shared" si="0"/>
        <v>-3.8165982147438766E-4</v>
      </c>
      <c r="D55" s="602">
        <v>12150</v>
      </c>
      <c r="E55" s="603">
        <f t="shared" si="1"/>
        <v>4.1322314049586778E-3</v>
      </c>
      <c r="F55" s="165"/>
      <c r="G55" s="580"/>
      <c r="H55" s="299"/>
      <c r="I55" s="580"/>
      <c r="J55" s="580"/>
      <c r="K55" s="580"/>
      <c r="L55" s="580"/>
      <c r="M55" s="580"/>
      <c r="N55" s="580"/>
      <c r="O55" s="580"/>
      <c r="P55" s="580"/>
    </row>
    <row r="56" spans="1:16" ht="14.4">
      <c r="A56" s="599">
        <v>46059</v>
      </c>
      <c r="B56" s="600">
        <v>1755.49</v>
      </c>
      <c r="C56" s="601">
        <f t="shared" si="0"/>
        <v>-1.5186024593842528E-2</v>
      </c>
      <c r="D56" s="602">
        <v>12100</v>
      </c>
      <c r="E56" s="603">
        <f t="shared" si="1"/>
        <v>-1.6260162601626018E-2</v>
      </c>
      <c r="F56" s="165"/>
      <c r="G56" s="580"/>
      <c r="H56" s="299"/>
      <c r="I56" s="580"/>
      <c r="J56" s="580"/>
      <c r="K56" s="580"/>
      <c r="L56" s="580"/>
      <c r="M56" s="580"/>
      <c r="N56" s="580"/>
      <c r="O56" s="580"/>
      <c r="P56" s="580"/>
    </row>
    <row r="57" spans="1:16" ht="14.4">
      <c r="A57" s="599">
        <v>46058</v>
      </c>
      <c r="B57" s="600">
        <v>1782.56</v>
      </c>
      <c r="C57" s="601">
        <f t="shared" si="0"/>
        <v>-4.9513517134357008E-3</v>
      </c>
      <c r="D57" s="602">
        <v>12300</v>
      </c>
      <c r="E57" s="603">
        <f t="shared" si="1"/>
        <v>-2.3809523809523808E-2</v>
      </c>
      <c r="F57" s="165"/>
      <c r="G57" s="580"/>
      <c r="H57" s="299"/>
      <c r="I57" s="580"/>
      <c r="J57" s="580"/>
      <c r="K57" s="580"/>
      <c r="L57" s="580"/>
      <c r="M57" s="580"/>
      <c r="N57" s="580"/>
      <c r="O57" s="580"/>
      <c r="P57" s="580"/>
    </row>
    <row r="58" spans="1:16" ht="14.4">
      <c r="A58" s="599">
        <v>46057</v>
      </c>
      <c r="B58" s="600">
        <v>1791.43</v>
      </c>
      <c r="C58" s="601">
        <f t="shared" si="0"/>
        <v>-1.2115363405757156E-2</v>
      </c>
      <c r="D58" s="602">
        <v>12600</v>
      </c>
      <c r="E58" s="603">
        <f t="shared" si="1"/>
        <v>2.0242914979757085E-2</v>
      </c>
      <c r="F58" s="165"/>
      <c r="G58" s="580"/>
      <c r="H58" s="299"/>
      <c r="I58" s="580"/>
      <c r="J58" s="580"/>
      <c r="K58" s="580"/>
      <c r="L58" s="580"/>
      <c r="M58" s="580"/>
      <c r="N58" s="580"/>
      <c r="O58" s="580"/>
      <c r="P58" s="580"/>
    </row>
    <row r="59" spans="1:16" ht="14.4">
      <c r="A59" s="599">
        <v>46056</v>
      </c>
      <c r="B59" s="600">
        <v>1813.4</v>
      </c>
      <c r="C59" s="601">
        <f t="shared" si="0"/>
        <v>3.8195405480210853E-3</v>
      </c>
      <c r="D59" s="602">
        <v>12350</v>
      </c>
      <c r="E59" s="603">
        <f t="shared" si="1"/>
        <v>1.2295081967213115E-2</v>
      </c>
      <c r="F59" s="165"/>
      <c r="G59" s="580"/>
      <c r="H59" s="299"/>
      <c r="I59" s="580"/>
      <c r="J59" s="580"/>
      <c r="K59" s="580"/>
      <c r="L59" s="580"/>
      <c r="M59" s="580"/>
      <c r="N59" s="580"/>
      <c r="O59" s="580"/>
      <c r="P59" s="580"/>
    </row>
    <row r="60" spans="1:16" ht="14.4">
      <c r="A60" s="599">
        <v>46055</v>
      </c>
      <c r="B60" s="600">
        <v>1806.5</v>
      </c>
      <c r="C60" s="601">
        <f t="shared" si="0"/>
        <v>-1.2323404627564167E-2</v>
      </c>
      <c r="D60" s="602">
        <v>12200</v>
      </c>
      <c r="E60" s="603">
        <f t="shared" si="1"/>
        <v>-2.0080321285140562E-2</v>
      </c>
      <c r="F60" s="165"/>
      <c r="G60" s="580"/>
      <c r="H60" s="299"/>
      <c r="I60" s="580"/>
      <c r="J60" s="580"/>
      <c r="K60" s="580"/>
      <c r="L60" s="580"/>
      <c r="M60" s="580"/>
      <c r="N60" s="580"/>
      <c r="O60" s="580"/>
      <c r="P60" s="580"/>
    </row>
    <row r="61" spans="1:16" ht="14.4">
      <c r="A61" s="599">
        <v>46052</v>
      </c>
      <c r="B61" s="600">
        <v>1829.04</v>
      </c>
      <c r="C61" s="601">
        <f t="shared" si="0"/>
        <v>7.7466418362736478E-3</v>
      </c>
      <c r="D61" s="602">
        <v>12450</v>
      </c>
      <c r="E61" s="603">
        <f t="shared" si="1"/>
        <v>4.0322580645161289E-3</v>
      </c>
      <c r="F61" s="165"/>
      <c r="G61" s="580"/>
      <c r="H61" s="299"/>
      <c r="I61" s="580"/>
      <c r="J61" s="580"/>
      <c r="K61" s="580"/>
      <c r="L61" s="580"/>
      <c r="M61" s="580"/>
      <c r="N61" s="580"/>
      <c r="O61" s="580"/>
      <c r="P61" s="580"/>
    </row>
    <row r="62" spans="1:16" ht="14.4">
      <c r="A62" s="599">
        <v>46051</v>
      </c>
      <c r="B62" s="600">
        <v>1814.98</v>
      </c>
      <c r="C62" s="601">
        <f t="shared" si="0"/>
        <v>6.694732404834371E-3</v>
      </c>
      <c r="D62" s="602">
        <v>12400</v>
      </c>
      <c r="E62" s="603">
        <f t="shared" si="1"/>
        <v>8.130081300813009E-3</v>
      </c>
      <c r="F62" s="165"/>
      <c r="G62" s="580"/>
      <c r="H62" s="299"/>
      <c r="I62" s="580"/>
      <c r="J62" s="580"/>
      <c r="K62" s="580"/>
      <c r="L62" s="580"/>
      <c r="M62" s="580"/>
      <c r="N62" s="580"/>
      <c r="O62" s="580"/>
      <c r="P62" s="580"/>
    </row>
    <row r="63" spans="1:16" ht="14.4">
      <c r="A63" s="599">
        <v>46050</v>
      </c>
      <c r="B63" s="600">
        <v>1802.91</v>
      </c>
      <c r="C63" s="601">
        <f t="shared" si="0"/>
        <v>-1.5072384594373078E-2</v>
      </c>
      <c r="D63" s="602">
        <v>12300</v>
      </c>
      <c r="E63" s="603">
        <f t="shared" si="1"/>
        <v>-8.0645161290322578E-3</v>
      </c>
      <c r="F63" s="165"/>
      <c r="G63" s="580"/>
      <c r="H63" s="299"/>
      <c r="I63" s="580"/>
      <c r="J63" s="580"/>
      <c r="K63" s="580"/>
      <c r="L63" s="580"/>
      <c r="M63" s="580"/>
      <c r="N63" s="580"/>
      <c r="O63" s="580"/>
      <c r="P63" s="580"/>
    </row>
    <row r="64" spans="1:16" ht="14.4">
      <c r="A64" s="599">
        <v>46049</v>
      </c>
      <c r="B64" s="600">
        <v>1830.5</v>
      </c>
      <c r="C64" s="601">
        <f t="shared" si="0"/>
        <v>-7.1702861605883903E-3</v>
      </c>
      <c r="D64" s="602">
        <v>12400</v>
      </c>
      <c r="E64" s="603">
        <f t="shared" si="1"/>
        <v>2.4793388429752067E-2</v>
      </c>
      <c r="F64" s="165"/>
      <c r="G64" s="580"/>
      <c r="H64" s="299"/>
      <c r="I64" s="580"/>
      <c r="J64" s="580"/>
      <c r="K64" s="580"/>
      <c r="L64" s="580"/>
      <c r="M64" s="580"/>
      <c r="N64" s="580"/>
      <c r="O64" s="580"/>
      <c r="P64" s="580"/>
    </row>
    <row r="65" spans="1:16" ht="14.4">
      <c r="A65" s="599">
        <v>46048</v>
      </c>
      <c r="B65" s="600">
        <v>1843.72</v>
      </c>
      <c r="C65" s="601">
        <f t="shared" si="0"/>
        <v>-1.4469822909038393E-2</v>
      </c>
      <c r="D65" s="602">
        <v>12100</v>
      </c>
      <c r="E65" s="603">
        <f t="shared" si="1"/>
        <v>-3.2000000000000001E-2</v>
      </c>
      <c r="F65" s="165"/>
      <c r="G65" s="580"/>
      <c r="H65" s="299"/>
      <c r="I65" s="580"/>
      <c r="J65" s="580"/>
      <c r="K65" s="580"/>
      <c r="L65" s="580"/>
      <c r="M65" s="580"/>
      <c r="N65" s="580"/>
      <c r="O65" s="580"/>
      <c r="P65" s="580"/>
    </row>
    <row r="66" spans="1:16" ht="14.4">
      <c r="A66" s="599">
        <v>46045</v>
      </c>
      <c r="B66" s="600">
        <v>1870.79</v>
      </c>
      <c r="C66" s="601">
        <f t="shared" si="0"/>
        <v>-6.341854647241003E-3</v>
      </c>
      <c r="D66" s="602">
        <v>12500</v>
      </c>
      <c r="E66" s="603">
        <f t="shared" si="1"/>
        <v>-3.4749034749034749E-2</v>
      </c>
      <c r="F66" s="165"/>
      <c r="G66" s="580"/>
      <c r="H66" s="299"/>
      <c r="I66" s="580"/>
      <c r="J66" s="580"/>
      <c r="K66" s="580"/>
      <c r="L66" s="580"/>
      <c r="M66" s="580"/>
      <c r="N66" s="580"/>
      <c r="O66" s="580"/>
      <c r="P66" s="580"/>
    </row>
    <row r="67" spans="1:16" ht="14.4">
      <c r="A67" s="599">
        <v>46044</v>
      </c>
      <c r="B67" s="600">
        <v>1882.73</v>
      </c>
      <c r="C67" s="601">
        <f t="shared" si="0"/>
        <v>-1.4373302783435358E-3</v>
      </c>
      <c r="D67" s="602">
        <v>12950</v>
      </c>
      <c r="E67" s="603">
        <f t="shared" si="1"/>
        <v>-1.5209125475285171E-2</v>
      </c>
      <c r="F67" s="165"/>
      <c r="G67" s="580"/>
      <c r="H67" s="299"/>
      <c r="I67" s="580"/>
      <c r="J67" s="580"/>
      <c r="K67" s="580"/>
      <c r="L67" s="580"/>
      <c r="M67" s="580"/>
      <c r="N67" s="580"/>
      <c r="O67" s="580"/>
      <c r="P67" s="580"/>
    </row>
    <row r="68" spans="1:16" ht="14.4">
      <c r="A68" s="599">
        <v>46043</v>
      </c>
      <c r="B68" s="600">
        <v>1885.44</v>
      </c>
      <c r="C68" s="601">
        <f t="shared" si="0"/>
        <v>-4.4038906314354982E-3</v>
      </c>
      <c r="D68" s="602">
        <v>13150</v>
      </c>
      <c r="E68" s="603">
        <f t="shared" si="1"/>
        <v>6.910569105691057E-2</v>
      </c>
      <c r="F68" s="165"/>
      <c r="G68" s="580"/>
      <c r="H68" s="299"/>
      <c r="I68" s="580"/>
      <c r="J68" s="580"/>
      <c r="K68" s="580"/>
      <c r="L68" s="580"/>
      <c r="M68" s="580"/>
      <c r="N68" s="580"/>
      <c r="O68" s="580"/>
      <c r="P68" s="580"/>
    </row>
    <row r="69" spans="1:16" ht="14.4">
      <c r="A69" s="599">
        <v>46042</v>
      </c>
      <c r="B69" s="600">
        <v>1893.78</v>
      </c>
      <c r="C69" s="601">
        <f t="shared" si="0"/>
        <v>-1.4816064621240993E-3</v>
      </c>
      <c r="D69" s="602">
        <v>12300</v>
      </c>
      <c r="E69" s="603">
        <f t="shared" si="1"/>
        <v>-4.048582995951417E-3</v>
      </c>
      <c r="F69" s="165"/>
      <c r="G69" s="580"/>
      <c r="H69" s="299"/>
      <c r="I69" s="580"/>
      <c r="J69" s="580"/>
      <c r="K69" s="580"/>
      <c r="L69" s="580"/>
      <c r="M69" s="580"/>
      <c r="N69" s="580"/>
      <c r="O69" s="580"/>
      <c r="P69" s="580"/>
    </row>
    <row r="70" spans="1:16" ht="14.4">
      <c r="A70" s="599">
        <v>46041</v>
      </c>
      <c r="B70" s="600">
        <v>1896.59</v>
      </c>
      <c r="C70" s="601">
        <f t="shared" ref="C70:C133" si="2">(B70-B71)/B71</f>
        <v>9.2915338481104597E-3</v>
      </c>
      <c r="D70" s="602">
        <v>12350</v>
      </c>
      <c r="E70" s="603">
        <f t="shared" ref="E70:E133" si="3">(D70-D71)/D71</f>
        <v>8.1632653061224497E-3</v>
      </c>
      <c r="F70" s="165"/>
      <c r="G70" s="580"/>
      <c r="H70" s="299"/>
      <c r="I70" s="580"/>
      <c r="J70" s="580"/>
      <c r="K70" s="580"/>
      <c r="L70" s="580"/>
      <c r="M70" s="580"/>
      <c r="N70" s="580"/>
      <c r="O70" s="580"/>
      <c r="P70" s="580"/>
    </row>
    <row r="71" spans="1:16" ht="14.4">
      <c r="A71" s="599">
        <v>46038</v>
      </c>
      <c r="B71" s="600">
        <v>1879.13</v>
      </c>
      <c r="C71" s="601">
        <f t="shared" si="2"/>
        <v>7.6844701844702677E-3</v>
      </c>
      <c r="D71" s="602">
        <v>12250</v>
      </c>
      <c r="E71" s="603">
        <f t="shared" si="3"/>
        <v>-8.0971659919028341E-3</v>
      </c>
      <c r="F71" s="165"/>
      <c r="G71" s="580"/>
      <c r="H71" s="299"/>
      <c r="I71" s="580"/>
      <c r="J71" s="580"/>
      <c r="K71" s="580"/>
      <c r="L71" s="580"/>
      <c r="M71" s="580"/>
      <c r="N71" s="580"/>
      <c r="O71" s="580"/>
      <c r="P71" s="580"/>
    </row>
    <row r="72" spans="1:16" ht="14.4">
      <c r="A72" s="599">
        <v>46037</v>
      </c>
      <c r="B72" s="600">
        <v>1864.8</v>
      </c>
      <c r="C72" s="601">
        <f t="shared" si="2"/>
        <v>-1.5645784506239362E-2</v>
      </c>
      <c r="D72" s="602">
        <v>12350</v>
      </c>
      <c r="E72" s="603">
        <f t="shared" si="3"/>
        <v>4.0650406504065045E-3</v>
      </c>
      <c r="F72" s="165"/>
      <c r="G72" s="580"/>
      <c r="H72" s="299"/>
      <c r="I72" s="580"/>
      <c r="J72" s="580"/>
      <c r="K72" s="580"/>
      <c r="L72" s="580"/>
      <c r="M72" s="580"/>
      <c r="N72" s="580"/>
      <c r="O72" s="580"/>
      <c r="P72" s="580"/>
    </row>
    <row r="73" spans="1:16" ht="14.4">
      <c r="A73" s="599">
        <v>46036</v>
      </c>
      <c r="B73" s="600">
        <v>1894.44</v>
      </c>
      <c r="C73" s="601">
        <f t="shared" si="2"/>
        <v>-4.4615408869480271E-3</v>
      </c>
      <c r="D73" s="602">
        <v>12300</v>
      </c>
      <c r="E73" s="603">
        <f t="shared" si="3"/>
        <v>4.0816326530612249E-3</v>
      </c>
      <c r="F73" s="165"/>
      <c r="G73" s="580"/>
      <c r="H73" s="299"/>
      <c r="I73" s="580"/>
      <c r="J73" s="580"/>
      <c r="K73" s="580"/>
      <c r="L73" s="580"/>
      <c r="M73" s="580"/>
      <c r="N73" s="580"/>
      <c r="O73" s="580"/>
      <c r="P73" s="580"/>
    </row>
    <row r="74" spans="1:16" ht="14.4">
      <c r="A74" s="599">
        <v>46035</v>
      </c>
      <c r="B74" s="600">
        <v>1902.93</v>
      </c>
      <c r="C74" s="601">
        <f t="shared" si="2"/>
        <v>1.3636387848700089E-2</v>
      </c>
      <c r="D74" s="602">
        <v>12250</v>
      </c>
      <c r="E74" s="603">
        <f t="shared" si="3"/>
        <v>4.0983606557377051E-3</v>
      </c>
      <c r="F74" s="165"/>
      <c r="G74" s="580"/>
      <c r="H74" s="299"/>
      <c r="I74" s="580"/>
      <c r="J74" s="580"/>
      <c r="K74" s="580"/>
      <c r="L74" s="580"/>
      <c r="M74" s="580"/>
      <c r="N74" s="580"/>
      <c r="O74" s="580"/>
      <c r="P74" s="580"/>
    </row>
    <row r="75" spans="1:16" ht="14.4">
      <c r="A75" s="599">
        <v>46034</v>
      </c>
      <c r="B75" s="600">
        <v>1877.33</v>
      </c>
      <c r="C75" s="601">
        <f t="shared" si="2"/>
        <v>5.0484501311632507E-3</v>
      </c>
      <c r="D75" s="602">
        <v>12200</v>
      </c>
      <c r="E75" s="603">
        <f t="shared" si="3"/>
        <v>2.0920502092050208E-2</v>
      </c>
      <c r="F75" s="165"/>
      <c r="G75" s="580"/>
      <c r="H75" s="299"/>
      <c r="I75" s="580"/>
      <c r="J75" s="580"/>
      <c r="K75" s="580"/>
      <c r="L75" s="580"/>
      <c r="M75" s="580"/>
      <c r="N75" s="580"/>
      <c r="O75" s="580"/>
      <c r="P75" s="580"/>
    </row>
    <row r="76" spans="1:16" ht="14.4">
      <c r="A76" s="599">
        <v>46031</v>
      </c>
      <c r="B76" s="600">
        <v>1867.9</v>
      </c>
      <c r="C76" s="601">
        <f t="shared" si="2"/>
        <v>6.6502834723749949E-3</v>
      </c>
      <c r="D76" s="602">
        <v>11950</v>
      </c>
      <c r="E76" s="603">
        <f t="shared" si="3"/>
        <v>-2.4489795918367346E-2</v>
      </c>
      <c r="F76" s="165"/>
      <c r="G76" s="580"/>
      <c r="H76" s="299"/>
      <c r="I76" s="580"/>
      <c r="J76" s="580"/>
      <c r="K76" s="580"/>
      <c r="L76" s="580"/>
      <c r="M76" s="580"/>
      <c r="N76" s="580"/>
      <c r="O76" s="580"/>
      <c r="P76" s="580"/>
    </row>
    <row r="77" spans="1:16" ht="14.4">
      <c r="A77" s="599">
        <v>46030</v>
      </c>
      <c r="B77" s="600">
        <v>1855.56</v>
      </c>
      <c r="C77" s="601">
        <f t="shared" si="2"/>
        <v>-3.2338121380762483E-3</v>
      </c>
      <c r="D77" s="602">
        <v>12250</v>
      </c>
      <c r="E77" s="603">
        <f t="shared" si="3"/>
        <v>8.23045267489712E-3</v>
      </c>
      <c r="F77" s="165"/>
      <c r="G77" s="580"/>
      <c r="H77" s="299"/>
      <c r="I77" s="580"/>
      <c r="J77" s="580"/>
      <c r="K77" s="580"/>
      <c r="L77" s="580"/>
      <c r="M77" s="580"/>
      <c r="N77" s="580"/>
      <c r="O77" s="580"/>
      <c r="P77" s="580"/>
    </row>
    <row r="78" spans="1:16" ht="14.4">
      <c r="A78" s="599">
        <v>46029</v>
      </c>
      <c r="B78" s="600">
        <v>1861.58</v>
      </c>
      <c r="C78" s="601">
        <f t="shared" si="2"/>
        <v>2.4946731488159769E-2</v>
      </c>
      <c r="D78" s="602">
        <v>12150</v>
      </c>
      <c r="E78" s="603">
        <f t="shared" si="3"/>
        <v>8.2987551867219917E-3</v>
      </c>
      <c r="F78" s="165"/>
      <c r="G78" s="580"/>
      <c r="H78" s="299"/>
      <c r="I78" s="580"/>
      <c r="J78" s="580"/>
      <c r="K78" s="580"/>
      <c r="L78" s="580"/>
      <c r="M78" s="580"/>
      <c r="N78" s="580"/>
      <c r="O78" s="580"/>
      <c r="P78" s="580"/>
    </row>
    <row r="79" spans="1:16" ht="14.4">
      <c r="A79" s="599">
        <v>46028</v>
      </c>
      <c r="B79" s="600">
        <v>1816.27</v>
      </c>
      <c r="C79" s="601">
        <f t="shared" si="2"/>
        <v>1.5583762021918971E-2</v>
      </c>
      <c r="D79" s="602">
        <v>12050</v>
      </c>
      <c r="E79" s="603">
        <f t="shared" si="3"/>
        <v>8.368200836820083E-3</v>
      </c>
      <c r="F79" s="165"/>
      <c r="G79" s="580"/>
      <c r="H79" s="299"/>
      <c r="I79" s="580"/>
      <c r="J79" s="580"/>
      <c r="K79" s="580"/>
      <c r="L79" s="580"/>
      <c r="M79" s="580"/>
      <c r="N79" s="580"/>
      <c r="O79" s="580"/>
      <c r="P79" s="580"/>
    </row>
    <row r="80" spans="1:16" ht="14.4">
      <c r="A80" s="599">
        <v>46027</v>
      </c>
      <c r="B80" s="600">
        <v>1788.4</v>
      </c>
      <c r="C80" s="601">
        <f t="shared" si="2"/>
        <v>2.1911022196818598E-3</v>
      </c>
      <c r="D80" s="602">
        <v>11950</v>
      </c>
      <c r="E80" s="603">
        <f t="shared" si="3"/>
        <v>-2.8455284552845527E-2</v>
      </c>
      <c r="F80" s="165"/>
      <c r="G80" s="580"/>
      <c r="H80" s="299"/>
      <c r="I80" s="580"/>
      <c r="J80" s="580"/>
      <c r="K80" s="580"/>
      <c r="L80" s="580"/>
      <c r="M80" s="580"/>
      <c r="N80" s="580"/>
      <c r="O80" s="580"/>
      <c r="P80" s="580"/>
    </row>
    <row r="81" spans="1:16" ht="14.4">
      <c r="A81" s="599">
        <v>46022</v>
      </c>
      <c r="B81" s="600">
        <v>1784.49</v>
      </c>
      <c r="C81" s="601">
        <f t="shared" si="2"/>
        <v>9.955288924104317E-3</v>
      </c>
      <c r="D81" s="602">
        <v>12300</v>
      </c>
      <c r="E81" s="603">
        <f t="shared" si="3"/>
        <v>-1.2048192771084338E-2</v>
      </c>
      <c r="F81" s="165"/>
      <c r="G81" s="580"/>
      <c r="H81" s="299"/>
      <c r="I81" s="580"/>
      <c r="J81" s="580"/>
      <c r="K81" s="580"/>
      <c r="L81" s="580"/>
      <c r="M81" s="580"/>
      <c r="N81" s="580"/>
      <c r="O81" s="580"/>
      <c r="P81" s="580"/>
    </row>
    <row r="82" spans="1:16" ht="14.4">
      <c r="A82" s="599">
        <v>46021</v>
      </c>
      <c r="B82" s="600">
        <v>1766.9</v>
      </c>
      <c r="C82" s="601">
        <f t="shared" si="2"/>
        <v>6.8724214173372915E-3</v>
      </c>
      <c r="D82" s="602">
        <v>12450</v>
      </c>
      <c r="E82" s="603">
        <f t="shared" si="3"/>
        <v>4.0322580645161289E-3</v>
      </c>
      <c r="F82" s="165"/>
      <c r="G82" s="580"/>
      <c r="H82" s="299"/>
      <c r="I82" s="580"/>
      <c r="J82" s="580"/>
      <c r="K82" s="580"/>
      <c r="L82" s="580"/>
      <c r="M82" s="580"/>
      <c r="N82" s="580"/>
      <c r="O82" s="580"/>
      <c r="P82" s="580"/>
    </row>
    <row r="83" spans="1:16" ht="14.4">
      <c r="A83" s="599">
        <v>46020</v>
      </c>
      <c r="B83" s="600">
        <v>1754.84</v>
      </c>
      <c r="C83" s="601">
        <f t="shared" si="2"/>
        <v>1.4475661926234226E-2</v>
      </c>
      <c r="D83" s="602">
        <v>12400</v>
      </c>
      <c r="E83" s="603">
        <f t="shared" si="3"/>
        <v>-4.0160642570281121E-3</v>
      </c>
      <c r="F83" s="165"/>
      <c r="G83" s="580"/>
      <c r="H83" s="299"/>
      <c r="I83" s="580"/>
      <c r="J83" s="580"/>
      <c r="K83" s="580"/>
      <c r="L83" s="580"/>
      <c r="M83" s="580"/>
      <c r="N83" s="580"/>
      <c r="O83" s="580"/>
      <c r="P83" s="580"/>
    </row>
    <row r="84" spans="1:16" ht="14.4">
      <c r="A84" s="599">
        <v>46017</v>
      </c>
      <c r="B84" s="600">
        <v>1729.8</v>
      </c>
      <c r="C84" s="601">
        <f t="shared" si="2"/>
        <v>-7.4877356054737672E-3</v>
      </c>
      <c r="D84" s="602">
        <v>12450</v>
      </c>
      <c r="E84" s="603">
        <f t="shared" si="3"/>
        <v>-3.1128404669260701E-2</v>
      </c>
      <c r="F84" s="165"/>
      <c r="G84" s="580"/>
      <c r="H84" s="299"/>
      <c r="I84" s="580"/>
      <c r="J84" s="580"/>
      <c r="K84" s="580"/>
      <c r="L84" s="580"/>
      <c r="M84" s="580"/>
      <c r="N84" s="580"/>
      <c r="O84" s="580"/>
      <c r="P84" s="580"/>
    </row>
    <row r="85" spans="1:16" ht="14.4">
      <c r="A85" s="599">
        <v>46016</v>
      </c>
      <c r="B85" s="600">
        <v>1742.85</v>
      </c>
      <c r="C85" s="601">
        <f t="shared" si="2"/>
        <v>-2.2419537586520249E-2</v>
      </c>
      <c r="D85" s="602">
        <v>12850</v>
      </c>
      <c r="E85" s="603">
        <f t="shared" si="3"/>
        <v>0</v>
      </c>
      <c r="F85" s="165"/>
      <c r="G85" s="580"/>
      <c r="H85" s="299"/>
      <c r="I85" s="580"/>
      <c r="J85" s="580"/>
      <c r="K85" s="580"/>
      <c r="L85" s="580"/>
      <c r="M85" s="580"/>
      <c r="N85" s="580"/>
      <c r="O85" s="580"/>
      <c r="P85" s="580"/>
    </row>
    <row r="86" spans="1:16" ht="14.4">
      <c r="A86" s="599">
        <v>46015</v>
      </c>
      <c r="B86" s="600">
        <v>1782.82</v>
      </c>
      <c r="C86" s="601">
        <f t="shared" si="2"/>
        <v>6.0209350224302936E-3</v>
      </c>
      <c r="D86" s="602">
        <v>12850</v>
      </c>
      <c r="E86" s="603">
        <f t="shared" si="3"/>
        <v>-3.875968992248062E-3</v>
      </c>
      <c r="F86" s="165"/>
      <c r="G86" s="580"/>
      <c r="H86" s="299"/>
      <c r="I86" s="580"/>
      <c r="J86" s="580"/>
      <c r="K86" s="580"/>
      <c r="L86" s="580"/>
      <c r="M86" s="580"/>
      <c r="N86" s="580"/>
      <c r="O86" s="580"/>
      <c r="P86" s="580"/>
    </row>
    <row r="87" spans="1:16" ht="14.4">
      <c r="A87" s="599">
        <v>46014</v>
      </c>
      <c r="B87" s="600">
        <v>1772.15</v>
      </c>
      <c r="C87" s="601">
        <f t="shared" si="2"/>
        <v>1.2061472390535923E-2</v>
      </c>
      <c r="D87" s="602">
        <v>12900</v>
      </c>
      <c r="E87" s="603">
        <f t="shared" si="3"/>
        <v>-2.6415094339622643E-2</v>
      </c>
      <c r="F87" s="165"/>
      <c r="G87" s="580"/>
      <c r="H87" s="299"/>
      <c r="I87" s="580"/>
      <c r="J87" s="580"/>
      <c r="K87" s="580"/>
      <c r="L87" s="580"/>
      <c r="M87" s="580"/>
      <c r="N87" s="580"/>
      <c r="O87" s="580"/>
      <c r="P87" s="580"/>
    </row>
    <row r="88" spans="1:16" ht="14.4">
      <c r="A88" s="599">
        <v>46013</v>
      </c>
      <c r="B88" s="600">
        <v>1751.03</v>
      </c>
      <c r="C88" s="601">
        <f t="shared" si="2"/>
        <v>2.7412853295468564E-2</v>
      </c>
      <c r="D88" s="602">
        <v>13250</v>
      </c>
      <c r="E88" s="603">
        <f t="shared" si="3"/>
        <v>-3.7593984962406013E-3</v>
      </c>
      <c r="F88" s="165"/>
      <c r="G88" s="580"/>
      <c r="H88" s="299"/>
      <c r="I88" s="580"/>
      <c r="J88" s="580"/>
      <c r="K88" s="580"/>
      <c r="L88" s="580"/>
      <c r="M88" s="580"/>
      <c r="N88" s="580"/>
      <c r="O88" s="580"/>
      <c r="P88" s="580"/>
    </row>
    <row r="89" spans="1:16" ht="14.4">
      <c r="A89" s="599">
        <v>46010</v>
      </c>
      <c r="B89" s="600">
        <v>1704.31</v>
      </c>
      <c r="C89" s="601">
        <f t="shared" si="2"/>
        <v>1.6297153215899966E-2</v>
      </c>
      <c r="D89" s="602">
        <v>13300</v>
      </c>
      <c r="E89" s="603">
        <f t="shared" si="3"/>
        <v>-3.6231884057971016E-2</v>
      </c>
      <c r="F89" s="165"/>
      <c r="G89" s="580"/>
      <c r="H89" s="299"/>
      <c r="I89" s="580"/>
      <c r="J89" s="580"/>
      <c r="K89" s="580"/>
      <c r="L89" s="580"/>
      <c r="M89" s="580"/>
      <c r="N89" s="580"/>
      <c r="O89" s="580"/>
      <c r="P89" s="580"/>
    </row>
    <row r="90" spans="1:16" ht="14.4">
      <c r="A90" s="599">
        <v>46009</v>
      </c>
      <c r="B90" s="600">
        <v>1676.98</v>
      </c>
      <c r="C90" s="601">
        <f t="shared" si="2"/>
        <v>1.9836764934335147E-3</v>
      </c>
      <c r="D90" s="602">
        <v>13800</v>
      </c>
      <c r="E90" s="603">
        <f t="shared" si="3"/>
        <v>6.9767441860465115E-2</v>
      </c>
      <c r="F90" s="165"/>
      <c r="G90" s="580"/>
      <c r="H90" s="299"/>
      <c r="I90" s="580"/>
      <c r="J90" s="580"/>
      <c r="K90" s="580"/>
      <c r="L90" s="580"/>
      <c r="M90" s="580"/>
      <c r="N90" s="580"/>
      <c r="O90" s="580"/>
      <c r="P90" s="580"/>
    </row>
    <row r="91" spans="1:16" ht="14.4">
      <c r="A91" s="599">
        <v>46008</v>
      </c>
      <c r="B91" s="600">
        <v>1673.66</v>
      </c>
      <c r="C91" s="601">
        <f t="shared" si="2"/>
        <v>-3.2873188103717181E-3</v>
      </c>
      <c r="D91" s="602">
        <v>12900</v>
      </c>
      <c r="E91" s="603">
        <f t="shared" si="3"/>
        <v>6.6115702479338845E-2</v>
      </c>
      <c r="F91" s="165"/>
      <c r="G91" s="580"/>
      <c r="H91" s="299"/>
      <c r="I91" s="580"/>
      <c r="J91" s="580"/>
      <c r="K91" s="580"/>
      <c r="L91" s="580"/>
      <c r="M91" s="580"/>
      <c r="N91" s="580"/>
      <c r="O91" s="580"/>
      <c r="P91" s="580"/>
    </row>
    <row r="92" spans="1:16" ht="14.4">
      <c r="A92" s="599">
        <v>46007</v>
      </c>
      <c r="B92" s="600">
        <v>1679.18</v>
      </c>
      <c r="C92" s="601">
        <f t="shared" si="2"/>
        <v>2.0151760924903294E-2</v>
      </c>
      <c r="D92" s="602">
        <v>12100</v>
      </c>
      <c r="E92" s="603">
        <f t="shared" si="3"/>
        <v>2.5423728813559324E-2</v>
      </c>
      <c r="F92" s="165"/>
      <c r="G92" s="580"/>
      <c r="H92" s="299"/>
      <c r="I92" s="580"/>
      <c r="J92" s="580"/>
      <c r="K92" s="580"/>
      <c r="L92" s="580"/>
      <c r="M92" s="580"/>
      <c r="N92" s="580"/>
      <c r="O92" s="580"/>
      <c r="P92" s="580"/>
    </row>
    <row r="93" spans="1:16" ht="14.4">
      <c r="A93" s="599">
        <v>46006</v>
      </c>
      <c r="B93" s="600">
        <v>1646.01</v>
      </c>
      <c r="C93" s="601">
        <f t="shared" si="2"/>
        <v>-5.3434048418540955E-4</v>
      </c>
      <c r="D93" s="602">
        <v>11800</v>
      </c>
      <c r="E93" s="603">
        <f t="shared" si="3"/>
        <v>-1.2552301255230125E-2</v>
      </c>
      <c r="F93" s="165"/>
      <c r="G93" s="580"/>
      <c r="H93" s="299"/>
      <c r="I93" s="580"/>
      <c r="J93" s="580"/>
      <c r="K93" s="580"/>
      <c r="L93" s="580"/>
      <c r="M93" s="580"/>
      <c r="N93" s="580"/>
      <c r="O93" s="580"/>
      <c r="P93" s="580"/>
    </row>
    <row r="94" spans="1:16" ht="14.4">
      <c r="A94" s="599">
        <v>46003</v>
      </c>
      <c r="B94" s="600">
        <v>1646.89</v>
      </c>
      <c r="C94" s="601">
        <f t="shared" si="2"/>
        <v>-3.0613926658426032E-2</v>
      </c>
      <c r="D94" s="602">
        <v>11950</v>
      </c>
      <c r="E94" s="603">
        <f t="shared" si="3"/>
        <v>-6.2745098039215685E-2</v>
      </c>
      <c r="F94" s="165"/>
      <c r="G94" s="580"/>
      <c r="H94" s="299"/>
      <c r="I94" s="580"/>
      <c r="J94" s="580"/>
      <c r="K94" s="580"/>
      <c r="L94" s="580"/>
      <c r="M94" s="580"/>
      <c r="N94" s="580"/>
      <c r="O94" s="580"/>
      <c r="P94" s="580"/>
    </row>
    <row r="95" spans="1:16" ht="14.4">
      <c r="A95" s="599">
        <v>46002</v>
      </c>
      <c r="B95" s="600">
        <v>1698.9</v>
      </c>
      <c r="C95" s="601">
        <f t="shared" si="2"/>
        <v>-1.1681345914437589E-2</v>
      </c>
      <c r="D95" s="602">
        <v>12750</v>
      </c>
      <c r="E95" s="603">
        <f t="shared" si="3"/>
        <v>-3.90625E-3</v>
      </c>
      <c r="F95" s="165"/>
      <c r="G95" s="580"/>
      <c r="H95" s="299"/>
      <c r="I95" s="580"/>
      <c r="J95" s="580"/>
      <c r="K95" s="580"/>
      <c r="L95" s="580"/>
      <c r="M95" s="580"/>
      <c r="N95" s="580"/>
      <c r="O95" s="580"/>
      <c r="P95" s="580"/>
    </row>
    <row r="96" spans="1:16" ht="14.4">
      <c r="A96" s="599">
        <v>46001</v>
      </c>
      <c r="B96" s="600">
        <v>1718.98</v>
      </c>
      <c r="C96" s="601">
        <f t="shared" si="2"/>
        <v>-1.6134663484377625E-2</v>
      </c>
      <c r="D96" s="602">
        <v>12800</v>
      </c>
      <c r="E96" s="603">
        <f t="shared" si="3"/>
        <v>-7.7519379844961239E-3</v>
      </c>
      <c r="F96" s="165"/>
      <c r="G96" s="580"/>
      <c r="H96" s="299"/>
      <c r="I96" s="580"/>
      <c r="J96" s="580"/>
      <c r="K96" s="580"/>
      <c r="L96" s="580"/>
      <c r="M96" s="580"/>
      <c r="N96" s="580"/>
      <c r="O96" s="580"/>
      <c r="P96" s="580"/>
    </row>
    <row r="97" spans="1:16" ht="14.4">
      <c r="A97" s="599">
        <v>46000</v>
      </c>
      <c r="B97" s="600">
        <v>1747.17</v>
      </c>
      <c r="C97" s="601">
        <f t="shared" si="2"/>
        <v>-3.7462793800677047E-3</v>
      </c>
      <c r="D97" s="602">
        <v>12900</v>
      </c>
      <c r="E97" s="603">
        <f t="shared" si="3"/>
        <v>2.7888446215139442E-2</v>
      </c>
      <c r="F97" s="165"/>
      <c r="G97" s="580"/>
      <c r="H97" s="299"/>
      <c r="I97" s="580"/>
      <c r="J97" s="580"/>
      <c r="K97" s="580"/>
      <c r="L97" s="580"/>
      <c r="M97" s="580"/>
      <c r="N97" s="580"/>
      <c r="O97" s="580"/>
      <c r="P97" s="580"/>
    </row>
    <row r="98" spans="1:16" ht="14.4">
      <c r="A98" s="599">
        <v>45999</v>
      </c>
      <c r="B98" s="600">
        <v>1753.74</v>
      </c>
      <c r="C98" s="601">
        <f t="shared" si="2"/>
        <v>7.1325201571222248E-3</v>
      </c>
      <c r="D98" s="602">
        <v>12550</v>
      </c>
      <c r="E98" s="603">
        <f t="shared" si="3"/>
        <v>1.6194331983805668E-2</v>
      </c>
      <c r="F98" s="165"/>
      <c r="G98" s="580"/>
      <c r="H98" s="299"/>
      <c r="I98" s="580"/>
      <c r="J98" s="580"/>
      <c r="K98" s="580"/>
      <c r="L98" s="580"/>
      <c r="M98" s="580"/>
      <c r="N98" s="580"/>
      <c r="O98" s="580"/>
      <c r="P98" s="580"/>
    </row>
    <row r="99" spans="1:16" ht="14.4">
      <c r="A99" s="599">
        <v>45996</v>
      </c>
      <c r="B99" s="600">
        <v>1741.32</v>
      </c>
      <c r="C99" s="601">
        <f t="shared" si="2"/>
        <v>2.3485528769772324E-3</v>
      </c>
      <c r="D99" s="602">
        <v>12350</v>
      </c>
      <c r="E99" s="603">
        <f t="shared" si="3"/>
        <v>-1.5936254980079681E-2</v>
      </c>
      <c r="F99" s="165"/>
      <c r="G99" s="580"/>
      <c r="H99" s="299"/>
      <c r="I99" s="580"/>
      <c r="J99" s="580"/>
      <c r="K99" s="580"/>
      <c r="L99" s="580"/>
      <c r="M99" s="580"/>
      <c r="N99" s="580"/>
      <c r="O99" s="580"/>
      <c r="P99" s="580"/>
    </row>
    <row r="100" spans="1:16" ht="14.4">
      <c r="A100" s="599">
        <v>45995</v>
      </c>
      <c r="B100" s="600">
        <v>1737.24</v>
      </c>
      <c r="C100" s="601">
        <f t="shared" si="2"/>
        <v>3.15861806128991E-3</v>
      </c>
      <c r="D100" s="602">
        <v>12550</v>
      </c>
      <c r="E100" s="603">
        <f t="shared" si="3"/>
        <v>2.8688524590163935E-2</v>
      </c>
      <c r="F100" s="165"/>
      <c r="G100" s="580"/>
      <c r="H100" s="299"/>
      <c r="I100" s="580"/>
      <c r="J100" s="580"/>
      <c r="K100" s="580"/>
      <c r="L100" s="580"/>
      <c r="M100" s="580"/>
      <c r="N100" s="580"/>
      <c r="O100" s="580"/>
      <c r="P100" s="580"/>
    </row>
    <row r="101" spans="1:16" ht="14.4">
      <c r="A101" s="599">
        <v>45994</v>
      </c>
      <c r="B101" s="600">
        <v>1731.77</v>
      </c>
      <c r="C101" s="601">
        <f t="shared" si="2"/>
        <v>8.5669691216381707E-3</v>
      </c>
      <c r="D101" s="602">
        <v>12200</v>
      </c>
      <c r="E101" s="603">
        <f t="shared" si="3"/>
        <v>-4.0816326530612249E-3</v>
      </c>
      <c r="F101" s="165"/>
      <c r="G101" s="580"/>
      <c r="H101" s="299"/>
      <c r="I101" s="580"/>
      <c r="J101" s="580"/>
      <c r="K101" s="580"/>
      <c r="L101" s="580"/>
      <c r="M101" s="580"/>
      <c r="N101" s="580"/>
      <c r="O101" s="580"/>
      <c r="P101" s="580"/>
    </row>
    <row r="102" spans="1:16" ht="14.4">
      <c r="A102" s="599">
        <v>45993</v>
      </c>
      <c r="B102" s="600">
        <v>1717.06</v>
      </c>
      <c r="C102" s="601">
        <f t="shared" si="2"/>
        <v>9.044056720750716E-3</v>
      </c>
      <c r="D102" s="602">
        <v>12250</v>
      </c>
      <c r="E102" s="603">
        <f t="shared" si="3"/>
        <v>2.9411764705882353E-2</v>
      </c>
      <c r="F102" s="165"/>
      <c r="G102" s="580"/>
      <c r="H102" s="299"/>
      <c r="I102" s="580"/>
      <c r="J102" s="580"/>
      <c r="K102" s="580"/>
      <c r="L102" s="580"/>
      <c r="M102" s="580"/>
      <c r="N102" s="580"/>
      <c r="O102" s="580"/>
      <c r="P102" s="580"/>
    </row>
    <row r="103" spans="1:16" ht="14.4">
      <c r="A103" s="599">
        <v>45992</v>
      </c>
      <c r="B103" s="600">
        <v>1701.67</v>
      </c>
      <c r="C103" s="601">
        <f t="shared" si="2"/>
        <v>6.3158268233402112E-3</v>
      </c>
      <c r="D103" s="602">
        <v>11900</v>
      </c>
      <c r="E103" s="603">
        <f t="shared" si="3"/>
        <v>-8.3333333333333332E-3</v>
      </c>
      <c r="F103" s="165"/>
      <c r="G103" s="580"/>
      <c r="H103" s="299"/>
      <c r="I103" s="580"/>
      <c r="J103" s="580"/>
      <c r="K103" s="580"/>
      <c r="L103" s="580"/>
      <c r="M103" s="580"/>
      <c r="N103" s="580"/>
      <c r="O103" s="580"/>
      <c r="P103" s="580"/>
    </row>
    <row r="104" spans="1:16" ht="14.4">
      <c r="A104" s="599">
        <v>45989</v>
      </c>
      <c r="B104" s="600">
        <v>1690.99</v>
      </c>
      <c r="C104" s="601">
        <f t="shared" si="2"/>
        <v>3.9600550964187763E-3</v>
      </c>
      <c r="D104" s="602">
        <v>12000</v>
      </c>
      <c r="E104" s="603">
        <f t="shared" si="3"/>
        <v>-8.2644628099173556E-3</v>
      </c>
      <c r="F104" s="165"/>
      <c r="G104" s="580"/>
      <c r="H104" s="299"/>
      <c r="I104" s="580"/>
      <c r="J104" s="580"/>
      <c r="K104" s="580"/>
      <c r="L104" s="580"/>
      <c r="M104" s="580"/>
      <c r="N104" s="580"/>
      <c r="O104" s="580"/>
      <c r="P104" s="580"/>
    </row>
    <row r="105" spans="1:16" ht="14.4">
      <c r="A105" s="599">
        <v>45988</v>
      </c>
      <c r="B105" s="600">
        <v>1684.32</v>
      </c>
      <c r="C105" s="601">
        <f t="shared" si="2"/>
        <v>2.3566378633150258E-3</v>
      </c>
      <c r="D105" s="602">
        <v>12100</v>
      </c>
      <c r="E105" s="603">
        <f t="shared" si="3"/>
        <v>-1.2244897959183673E-2</v>
      </c>
      <c r="F105" s="165"/>
      <c r="G105" s="580"/>
      <c r="H105" s="299"/>
      <c r="I105" s="580"/>
      <c r="J105" s="580"/>
      <c r="K105" s="580"/>
      <c r="L105" s="580"/>
      <c r="M105" s="580"/>
      <c r="N105" s="580"/>
      <c r="O105" s="580"/>
      <c r="P105" s="580"/>
    </row>
    <row r="106" spans="1:16" ht="14.4">
      <c r="A106" s="599">
        <v>45987</v>
      </c>
      <c r="B106" s="600">
        <v>1680.36</v>
      </c>
      <c r="C106" s="601">
        <f t="shared" si="2"/>
        <v>1.2045580476523165E-2</v>
      </c>
      <c r="D106" s="602">
        <v>12250</v>
      </c>
      <c r="E106" s="603">
        <f t="shared" si="3"/>
        <v>8.23045267489712E-3</v>
      </c>
      <c r="F106" s="165"/>
      <c r="G106" s="580"/>
      <c r="H106" s="299"/>
      <c r="I106" s="580"/>
      <c r="J106" s="580"/>
      <c r="K106" s="580"/>
      <c r="L106" s="580"/>
      <c r="M106" s="580"/>
      <c r="N106" s="580"/>
      <c r="O106" s="580"/>
      <c r="P106" s="580"/>
    </row>
    <row r="107" spans="1:16" ht="14.4">
      <c r="A107" s="599">
        <v>45986</v>
      </c>
      <c r="B107" s="600">
        <v>1660.36</v>
      </c>
      <c r="C107" s="601">
        <f t="shared" si="2"/>
        <v>-4.5684001007207028E-3</v>
      </c>
      <c r="D107" s="602">
        <v>12150</v>
      </c>
      <c r="E107" s="603">
        <f t="shared" si="3"/>
        <v>-1.6194331983805668E-2</v>
      </c>
      <c r="F107" s="165"/>
      <c r="G107" s="580"/>
      <c r="H107" s="299"/>
      <c r="I107" s="580"/>
      <c r="J107" s="580"/>
      <c r="K107" s="580"/>
      <c r="L107" s="580"/>
      <c r="M107" s="580"/>
      <c r="N107" s="580"/>
      <c r="O107" s="580"/>
      <c r="P107" s="580"/>
    </row>
    <row r="108" spans="1:16" ht="14.4">
      <c r="A108" s="599">
        <v>45985</v>
      </c>
      <c r="B108" s="600">
        <v>1667.98</v>
      </c>
      <c r="C108" s="601">
        <f t="shared" si="2"/>
        <v>7.8855299015668061E-3</v>
      </c>
      <c r="D108" s="602">
        <v>12350</v>
      </c>
      <c r="E108" s="603">
        <f t="shared" si="3"/>
        <v>3.7815126050420166E-2</v>
      </c>
      <c r="F108" s="165"/>
      <c r="G108" s="580"/>
      <c r="H108" s="299"/>
      <c r="I108" s="580"/>
      <c r="J108" s="580"/>
      <c r="K108" s="580"/>
      <c r="L108" s="580"/>
      <c r="M108" s="580"/>
      <c r="N108" s="580"/>
      <c r="O108" s="580"/>
      <c r="P108" s="580"/>
    </row>
    <row r="109" spans="1:16" ht="14.4">
      <c r="A109" s="599">
        <v>45982</v>
      </c>
      <c r="B109" s="600">
        <v>1654.93</v>
      </c>
      <c r="C109" s="601">
        <f t="shared" si="2"/>
        <v>-6.401004836985401E-4</v>
      </c>
      <c r="D109" s="602">
        <v>11900</v>
      </c>
      <c r="E109" s="603">
        <f t="shared" si="3"/>
        <v>0</v>
      </c>
      <c r="F109" s="165"/>
      <c r="G109" s="580"/>
      <c r="H109" s="299"/>
      <c r="I109" s="580"/>
      <c r="J109" s="580"/>
      <c r="K109" s="580"/>
      <c r="L109" s="580"/>
      <c r="M109" s="580"/>
      <c r="N109" s="580"/>
      <c r="O109" s="580"/>
      <c r="P109" s="580"/>
    </row>
    <row r="110" spans="1:16" ht="14.4">
      <c r="A110" s="599">
        <v>45981</v>
      </c>
      <c r="B110" s="600">
        <v>1655.99</v>
      </c>
      <c r="C110" s="601">
        <f t="shared" si="2"/>
        <v>4.2389326864766584E-3</v>
      </c>
      <c r="D110" s="602">
        <v>11900</v>
      </c>
      <c r="E110" s="603">
        <f t="shared" si="3"/>
        <v>-8.3333333333333332E-3</v>
      </c>
      <c r="F110" s="165"/>
      <c r="G110" s="580"/>
      <c r="H110" s="299"/>
      <c r="I110" s="580"/>
      <c r="J110" s="580"/>
      <c r="K110" s="580"/>
      <c r="L110" s="580"/>
      <c r="M110" s="580"/>
      <c r="N110" s="580"/>
      <c r="O110" s="580"/>
      <c r="P110" s="580"/>
    </row>
    <row r="111" spans="1:16" ht="14.4">
      <c r="A111" s="599">
        <v>45980</v>
      </c>
      <c r="B111" s="600">
        <v>1649</v>
      </c>
      <c r="C111" s="601">
        <f t="shared" si="2"/>
        <v>-6.5786302954359685E-3</v>
      </c>
      <c r="D111" s="602">
        <v>12000</v>
      </c>
      <c r="E111" s="603">
        <f t="shared" si="3"/>
        <v>-1.6393442622950821E-2</v>
      </c>
      <c r="F111" s="165"/>
      <c r="G111" s="580"/>
      <c r="H111" s="299"/>
      <c r="I111" s="580"/>
      <c r="J111" s="580"/>
      <c r="K111" s="580"/>
      <c r="L111" s="580"/>
      <c r="M111" s="580"/>
      <c r="N111" s="580"/>
      <c r="O111" s="580"/>
      <c r="P111" s="580"/>
    </row>
    <row r="112" spans="1:16" ht="14.4">
      <c r="A112" s="599">
        <v>45979</v>
      </c>
      <c r="B112" s="600">
        <v>1659.92</v>
      </c>
      <c r="C112" s="601">
        <f t="shared" si="2"/>
        <v>3.3244278961811389E-3</v>
      </c>
      <c r="D112" s="602">
        <v>12200</v>
      </c>
      <c r="E112" s="603">
        <f t="shared" si="3"/>
        <v>-4.0816326530612249E-3</v>
      </c>
      <c r="F112" s="165"/>
      <c r="G112" s="580"/>
      <c r="H112" s="299"/>
      <c r="I112" s="580"/>
      <c r="J112" s="580"/>
      <c r="K112" s="580"/>
      <c r="L112" s="580"/>
      <c r="M112" s="580"/>
      <c r="N112" s="580"/>
      <c r="O112" s="580"/>
      <c r="P112" s="580"/>
    </row>
    <row r="113" spans="1:16" ht="14.4">
      <c r="A113" s="599">
        <v>45978</v>
      </c>
      <c r="B113" s="600">
        <v>1654.42</v>
      </c>
      <c r="C113" s="601">
        <f t="shared" si="2"/>
        <v>1.1593068616780621E-2</v>
      </c>
      <c r="D113" s="602">
        <v>12250</v>
      </c>
      <c r="E113" s="603">
        <f t="shared" si="3"/>
        <v>1.2396694214876033E-2</v>
      </c>
      <c r="F113" s="165"/>
      <c r="G113" s="580"/>
      <c r="H113" s="299"/>
      <c r="I113" s="580"/>
      <c r="J113" s="580"/>
      <c r="K113" s="580"/>
      <c r="L113" s="580"/>
      <c r="M113" s="580"/>
      <c r="N113" s="580"/>
      <c r="O113" s="580"/>
      <c r="P113" s="580"/>
    </row>
    <row r="114" spans="1:16" ht="14.4">
      <c r="A114" s="599">
        <v>45975</v>
      </c>
      <c r="B114" s="600">
        <v>1635.46</v>
      </c>
      <c r="C114" s="601">
        <f t="shared" si="2"/>
        <v>2.4640808120433371E-3</v>
      </c>
      <c r="D114" s="602">
        <v>12100</v>
      </c>
      <c r="E114" s="603">
        <f t="shared" si="3"/>
        <v>-4.11522633744856E-3</v>
      </c>
      <c r="F114" s="165"/>
      <c r="G114" s="580"/>
      <c r="H114" s="299"/>
      <c r="I114" s="580"/>
      <c r="J114" s="580"/>
      <c r="K114" s="580"/>
      <c r="L114" s="580"/>
      <c r="M114" s="580"/>
      <c r="N114" s="580"/>
      <c r="O114" s="580"/>
      <c r="P114" s="580"/>
    </row>
    <row r="115" spans="1:16" ht="14.4">
      <c r="A115" s="599">
        <v>45974</v>
      </c>
      <c r="B115" s="600">
        <v>1631.44</v>
      </c>
      <c r="C115" s="601">
        <f t="shared" si="2"/>
        <v>-2.5737501991582941E-4</v>
      </c>
      <c r="D115" s="602">
        <v>12150</v>
      </c>
      <c r="E115" s="603">
        <f t="shared" si="3"/>
        <v>1.6736401673640166E-2</v>
      </c>
      <c r="F115" s="165"/>
      <c r="G115" s="580"/>
      <c r="H115" s="299"/>
      <c r="I115" s="580"/>
      <c r="J115" s="580"/>
      <c r="K115" s="580"/>
      <c r="L115" s="580"/>
      <c r="M115" s="580"/>
      <c r="N115" s="580"/>
      <c r="O115" s="580"/>
      <c r="P115" s="580"/>
    </row>
    <row r="116" spans="1:16" ht="14.4">
      <c r="A116" s="599">
        <v>45973</v>
      </c>
      <c r="B116" s="600">
        <v>1631.86</v>
      </c>
      <c r="C116" s="601">
        <f t="shared" si="2"/>
        <v>2.4002108420504389E-2</v>
      </c>
      <c r="D116" s="602">
        <v>11950</v>
      </c>
      <c r="E116" s="603">
        <f t="shared" si="3"/>
        <v>1.7021276595744681E-2</v>
      </c>
      <c r="F116" s="165"/>
      <c r="G116" s="580"/>
      <c r="H116" s="299"/>
      <c r="I116" s="580"/>
      <c r="J116" s="580"/>
      <c r="K116" s="580"/>
      <c r="L116" s="580"/>
      <c r="M116" s="580"/>
      <c r="N116" s="580"/>
      <c r="O116" s="580"/>
      <c r="P116" s="580"/>
    </row>
    <row r="117" spans="1:16" ht="14.4">
      <c r="A117" s="599">
        <v>45972</v>
      </c>
      <c r="B117" s="600">
        <v>1593.61</v>
      </c>
      <c r="C117" s="601">
        <f t="shared" si="2"/>
        <v>8.2693256735039515E-3</v>
      </c>
      <c r="D117" s="602">
        <v>11750</v>
      </c>
      <c r="E117" s="603">
        <f t="shared" si="3"/>
        <v>-1.2605042016806723E-2</v>
      </c>
      <c r="F117" s="165"/>
      <c r="G117" s="580"/>
      <c r="H117" s="299"/>
      <c r="I117" s="580"/>
      <c r="J117" s="580"/>
      <c r="K117" s="580"/>
      <c r="L117" s="580"/>
      <c r="M117" s="580"/>
      <c r="N117" s="580"/>
      <c r="O117" s="580"/>
      <c r="P117" s="580"/>
    </row>
    <row r="118" spans="1:16" ht="14.4">
      <c r="A118" s="599">
        <v>45971</v>
      </c>
      <c r="B118" s="600">
        <v>1580.54</v>
      </c>
      <c r="C118" s="601">
        <f t="shared" si="2"/>
        <v>-1.1606528672378179E-2</v>
      </c>
      <c r="D118" s="602">
        <v>11900</v>
      </c>
      <c r="E118" s="603">
        <f t="shared" si="3"/>
        <v>-8.3333333333333332E-3</v>
      </c>
      <c r="F118" s="165"/>
      <c r="G118" s="580"/>
      <c r="H118" s="299"/>
      <c r="I118" s="580"/>
      <c r="J118" s="580"/>
      <c r="K118" s="580"/>
      <c r="L118" s="580"/>
      <c r="M118" s="580"/>
      <c r="N118" s="580"/>
      <c r="O118" s="580"/>
      <c r="P118" s="580"/>
    </row>
    <row r="119" spans="1:16" ht="14.4">
      <c r="A119" s="599">
        <v>45968</v>
      </c>
      <c r="B119" s="600">
        <v>1599.1</v>
      </c>
      <c r="C119" s="601">
        <f t="shared" si="2"/>
        <v>-2.6506112112209729E-2</v>
      </c>
      <c r="D119" s="602">
        <v>12000</v>
      </c>
      <c r="E119" s="603">
        <f t="shared" si="3"/>
        <v>-2.4390243902439025E-2</v>
      </c>
      <c r="F119" s="165"/>
      <c r="G119" s="580"/>
      <c r="H119" s="299"/>
      <c r="I119" s="580"/>
      <c r="J119" s="580"/>
      <c r="K119" s="580"/>
      <c r="L119" s="580"/>
      <c r="M119" s="580"/>
      <c r="N119" s="580"/>
      <c r="O119" s="580"/>
      <c r="P119" s="580"/>
    </row>
    <row r="120" spans="1:16" ht="14.4">
      <c r="A120" s="599">
        <v>45967</v>
      </c>
      <c r="B120" s="600">
        <v>1642.64</v>
      </c>
      <c r="C120" s="601">
        <f t="shared" si="2"/>
        <v>-7.4023046849035282E-3</v>
      </c>
      <c r="D120" s="602">
        <v>12300</v>
      </c>
      <c r="E120" s="603">
        <f t="shared" si="3"/>
        <v>8.1967213114754103E-3</v>
      </c>
      <c r="F120" s="165"/>
      <c r="G120" s="580"/>
      <c r="H120" s="299"/>
      <c r="I120" s="580"/>
      <c r="J120" s="580"/>
      <c r="K120" s="580"/>
      <c r="L120" s="580"/>
      <c r="M120" s="580"/>
      <c r="N120" s="580"/>
      <c r="O120" s="580"/>
      <c r="P120" s="580"/>
    </row>
    <row r="121" spans="1:16" ht="14.4">
      <c r="A121" s="599">
        <v>45966</v>
      </c>
      <c r="B121" s="600">
        <v>1654.89</v>
      </c>
      <c r="C121" s="601">
        <f t="shared" si="2"/>
        <v>1.7615225365925022E-3</v>
      </c>
      <c r="D121" s="602">
        <v>12200</v>
      </c>
      <c r="E121" s="603">
        <f t="shared" si="3"/>
        <v>-8.130081300813009E-3</v>
      </c>
      <c r="F121" s="165"/>
      <c r="G121" s="580"/>
      <c r="H121" s="299"/>
      <c r="I121" s="580"/>
      <c r="J121" s="580"/>
      <c r="K121" s="580"/>
      <c r="L121" s="580"/>
      <c r="M121" s="580"/>
      <c r="N121" s="580"/>
      <c r="O121" s="580"/>
      <c r="P121" s="580"/>
    </row>
    <row r="122" spans="1:16" ht="14.4">
      <c r="A122" s="599">
        <v>45965</v>
      </c>
      <c r="B122" s="600">
        <v>1651.98</v>
      </c>
      <c r="C122" s="601">
        <f t="shared" si="2"/>
        <v>2.1632653061224499E-2</v>
      </c>
      <c r="D122" s="602">
        <v>12300</v>
      </c>
      <c r="E122" s="603">
        <f t="shared" si="3"/>
        <v>1.2345679012345678E-2</v>
      </c>
      <c r="F122" s="165"/>
      <c r="G122" s="580"/>
      <c r="H122" s="299"/>
      <c r="I122" s="580"/>
      <c r="J122" s="580"/>
      <c r="K122" s="580"/>
      <c r="L122" s="580"/>
      <c r="M122" s="580"/>
      <c r="N122" s="580"/>
      <c r="O122" s="580"/>
      <c r="P122" s="580"/>
    </row>
    <row r="123" spans="1:16" ht="14.4">
      <c r="A123" s="599">
        <v>45964</v>
      </c>
      <c r="B123" s="600">
        <v>1617</v>
      </c>
      <c r="C123" s="601">
        <f t="shared" si="2"/>
        <v>-1.3813923703229402E-2</v>
      </c>
      <c r="D123" s="602">
        <v>12150</v>
      </c>
      <c r="E123" s="603">
        <f t="shared" si="3"/>
        <v>-2.8000000000000001E-2</v>
      </c>
      <c r="F123" s="165"/>
      <c r="G123" s="580"/>
      <c r="H123" s="299"/>
      <c r="I123" s="580"/>
      <c r="J123" s="580"/>
      <c r="K123" s="580"/>
      <c r="L123" s="580"/>
      <c r="M123" s="580"/>
      <c r="N123" s="580"/>
      <c r="O123" s="580"/>
      <c r="P123" s="580"/>
    </row>
    <row r="124" spans="1:16" ht="14.4">
      <c r="A124" s="599">
        <v>45961</v>
      </c>
      <c r="B124" s="600">
        <v>1639.65</v>
      </c>
      <c r="C124" s="601">
        <f t="shared" si="2"/>
        <v>-1.7920781997759809E-2</v>
      </c>
      <c r="D124" s="602">
        <v>12500</v>
      </c>
      <c r="E124" s="603">
        <f t="shared" si="3"/>
        <v>-3.9840637450199202E-3</v>
      </c>
      <c r="F124" s="165"/>
      <c r="G124" s="580"/>
      <c r="H124" s="299"/>
      <c r="I124" s="580"/>
      <c r="J124" s="580"/>
      <c r="K124" s="580"/>
      <c r="L124" s="580"/>
      <c r="M124" s="580"/>
      <c r="N124" s="580"/>
      <c r="O124" s="580"/>
      <c r="P124" s="580"/>
    </row>
    <row r="125" spans="1:16" ht="14.4">
      <c r="A125" s="599">
        <v>45960</v>
      </c>
      <c r="B125" s="600">
        <v>1669.57</v>
      </c>
      <c r="C125" s="601">
        <f t="shared" si="2"/>
        <v>-9.6451006329226503E-3</v>
      </c>
      <c r="D125" s="602">
        <v>12550</v>
      </c>
      <c r="E125" s="603">
        <f t="shared" si="3"/>
        <v>-7.9051383399209481E-3</v>
      </c>
      <c r="F125" s="165"/>
      <c r="G125" s="580"/>
      <c r="H125" s="299"/>
      <c r="I125" s="580"/>
      <c r="J125" s="580"/>
      <c r="K125" s="580"/>
      <c r="L125" s="580"/>
      <c r="M125" s="580"/>
      <c r="N125" s="580"/>
      <c r="O125" s="580"/>
      <c r="P125" s="580"/>
    </row>
    <row r="126" spans="1:16" ht="14.4">
      <c r="A126" s="599">
        <v>45959</v>
      </c>
      <c r="B126" s="600">
        <v>1685.83</v>
      </c>
      <c r="C126" s="601">
        <f t="shared" si="2"/>
        <v>3.1716750966973681E-3</v>
      </c>
      <c r="D126" s="602">
        <v>12650</v>
      </c>
      <c r="E126" s="603">
        <f t="shared" si="3"/>
        <v>1.2E-2</v>
      </c>
      <c r="F126" s="165"/>
      <c r="G126" s="580"/>
      <c r="H126" s="299"/>
      <c r="I126" s="580"/>
      <c r="J126" s="580"/>
      <c r="K126" s="580"/>
      <c r="L126" s="580"/>
      <c r="M126" s="580"/>
      <c r="N126" s="580"/>
      <c r="O126" s="580"/>
      <c r="P126" s="580"/>
    </row>
    <row r="127" spans="1:16" ht="14.4">
      <c r="A127" s="599">
        <v>45958</v>
      </c>
      <c r="B127" s="600">
        <v>1680.5</v>
      </c>
      <c r="C127" s="601">
        <f t="shared" si="2"/>
        <v>1.6919408909920507E-2</v>
      </c>
      <c r="D127" s="602">
        <v>12500</v>
      </c>
      <c r="E127" s="603">
        <f t="shared" si="3"/>
        <v>8.0645161290322578E-3</v>
      </c>
      <c r="F127" s="165"/>
      <c r="G127" s="580"/>
      <c r="H127" s="299"/>
      <c r="I127" s="580"/>
      <c r="J127" s="580"/>
      <c r="K127" s="580"/>
      <c r="L127" s="580"/>
      <c r="M127" s="580"/>
      <c r="N127" s="580"/>
      <c r="O127" s="580"/>
      <c r="P127" s="580"/>
    </row>
    <row r="128" spans="1:16" ht="14.4">
      <c r="A128" s="599">
        <v>45957</v>
      </c>
      <c r="B128" s="600">
        <v>1652.54</v>
      </c>
      <c r="C128" s="601">
        <f t="shared" si="2"/>
        <v>-1.820363835121621E-2</v>
      </c>
      <c r="D128" s="602">
        <v>12400</v>
      </c>
      <c r="E128" s="603">
        <f t="shared" si="3"/>
        <v>1.6393442622950821E-2</v>
      </c>
      <c r="F128" s="165"/>
      <c r="G128" s="580"/>
      <c r="H128" s="299"/>
      <c r="I128" s="580"/>
      <c r="J128" s="580"/>
      <c r="K128" s="580"/>
      <c r="L128" s="580"/>
      <c r="M128" s="580"/>
      <c r="N128" s="580"/>
      <c r="O128" s="580"/>
      <c r="P128" s="580"/>
    </row>
    <row r="129" spans="1:16" ht="14.4">
      <c r="A129" s="599">
        <v>45954</v>
      </c>
      <c r="B129" s="600">
        <v>1683.18</v>
      </c>
      <c r="C129" s="601">
        <f t="shared" si="2"/>
        <v>-2.2998589261792003E-3</v>
      </c>
      <c r="D129" s="602">
        <v>12200</v>
      </c>
      <c r="E129" s="603">
        <f t="shared" si="3"/>
        <v>-1.6129032258064516E-2</v>
      </c>
      <c r="F129" s="165"/>
      <c r="G129" s="580"/>
      <c r="H129" s="299"/>
      <c r="I129" s="580"/>
      <c r="J129" s="580"/>
      <c r="K129" s="580"/>
      <c r="L129" s="580"/>
      <c r="M129" s="580"/>
      <c r="N129" s="580"/>
      <c r="O129" s="580"/>
      <c r="P129" s="580"/>
    </row>
    <row r="130" spans="1:16" ht="14.4">
      <c r="A130" s="599">
        <v>45953</v>
      </c>
      <c r="B130" s="600">
        <v>1687.06</v>
      </c>
      <c r="C130" s="601">
        <f t="shared" si="2"/>
        <v>5.099791480488499E-3</v>
      </c>
      <c r="D130" s="602">
        <v>12400</v>
      </c>
      <c r="E130" s="603">
        <f t="shared" si="3"/>
        <v>-8.0000000000000002E-3</v>
      </c>
      <c r="F130" s="165"/>
      <c r="G130" s="580"/>
      <c r="H130" s="299"/>
      <c r="I130" s="580"/>
      <c r="J130" s="580"/>
      <c r="K130" s="580"/>
      <c r="L130" s="580"/>
      <c r="M130" s="580"/>
      <c r="N130" s="580"/>
      <c r="O130" s="580"/>
      <c r="P130" s="580"/>
    </row>
    <row r="131" spans="1:16" ht="14.4">
      <c r="A131" s="599">
        <v>45952</v>
      </c>
      <c r="B131" s="600">
        <v>1678.5</v>
      </c>
      <c r="C131" s="601">
        <f t="shared" si="2"/>
        <v>9.0595937310256128E-3</v>
      </c>
      <c r="D131" s="602">
        <v>12500</v>
      </c>
      <c r="E131" s="603">
        <f t="shared" si="3"/>
        <v>-7.9365079365079361E-3</v>
      </c>
      <c r="F131" s="165"/>
      <c r="G131" s="580"/>
      <c r="H131" s="299"/>
      <c r="I131" s="580"/>
      <c r="J131" s="580"/>
      <c r="K131" s="580"/>
      <c r="L131" s="580"/>
      <c r="M131" s="580"/>
      <c r="N131" s="580"/>
      <c r="O131" s="580"/>
      <c r="P131" s="580"/>
    </row>
    <row r="132" spans="1:16" ht="14.4">
      <c r="A132" s="599">
        <v>45951</v>
      </c>
      <c r="B132" s="600">
        <v>1663.43</v>
      </c>
      <c r="C132" s="601">
        <f t="shared" si="2"/>
        <v>1.649933086047066E-2</v>
      </c>
      <c r="D132" s="602">
        <v>12600</v>
      </c>
      <c r="E132" s="603">
        <f t="shared" si="3"/>
        <v>4.1322314049586778E-2</v>
      </c>
      <c r="F132" s="165"/>
      <c r="G132" s="580"/>
      <c r="H132" s="299"/>
      <c r="I132" s="580"/>
      <c r="J132" s="580"/>
      <c r="K132" s="580"/>
      <c r="L132" s="580"/>
      <c r="M132" s="580"/>
      <c r="N132" s="580"/>
      <c r="O132" s="580"/>
      <c r="P132" s="580"/>
    </row>
    <row r="133" spans="1:16" ht="14.4">
      <c r="A133" s="599">
        <v>45950</v>
      </c>
      <c r="B133" s="600">
        <v>1636.43</v>
      </c>
      <c r="C133" s="601">
        <f t="shared" si="2"/>
        <v>-5.4736915069980754E-2</v>
      </c>
      <c r="D133" s="602">
        <v>12100</v>
      </c>
      <c r="E133" s="603">
        <f t="shared" si="3"/>
        <v>-6.9230769230769235E-2</v>
      </c>
      <c r="F133" s="165"/>
      <c r="G133" s="580"/>
      <c r="H133" s="299"/>
      <c r="I133" s="580"/>
      <c r="J133" s="580"/>
      <c r="K133" s="580"/>
      <c r="L133" s="580"/>
      <c r="M133" s="580"/>
      <c r="N133" s="580"/>
      <c r="O133" s="580"/>
      <c r="P133" s="580"/>
    </row>
    <row r="134" spans="1:16" ht="14.4">
      <c r="A134" s="599">
        <v>45947</v>
      </c>
      <c r="B134" s="600">
        <v>1731.19</v>
      </c>
      <c r="C134" s="601">
        <f t="shared" ref="C134:C197" si="4">(B134-B135)/B135</f>
        <v>-2.0182811217703742E-2</v>
      </c>
      <c r="D134" s="602">
        <v>13000</v>
      </c>
      <c r="E134" s="603">
        <f t="shared" ref="E134:E197" si="5">(D134-D135)/D135</f>
        <v>-2.2556390977443608E-2</v>
      </c>
      <c r="F134" s="165"/>
      <c r="G134" s="580"/>
      <c r="H134" s="299"/>
      <c r="I134" s="580"/>
      <c r="J134" s="580"/>
      <c r="K134" s="580"/>
      <c r="L134" s="580"/>
      <c r="M134" s="580"/>
      <c r="N134" s="580"/>
      <c r="O134" s="580"/>
      <c r="P134" s="580"/>
    </row>
    <row r="135" spans="1:16" ht="14.4">
      <c r="A135" s="599">
        <v>45946</v>
      </c>
      <c r="B135" s="600">
        <v>1766.85</v>
      </c>
      <c r="C135" s="601">
        <f t="shared" si="4"/>
        <v>5.0627150942858801E-3</v>
      </c>
      <c r="D135" s="602">
        <v>13300</v>
      </c>
      <c r="E135" s="603">
        <f t="shared" si="5"/>
        <v>2.3076923076923078E-2</v>
      </c>
      <c r="F135" s="165"/>
      <c r="G135" s="580"/>
      <c r="H135" s="299"/>
      <c r="I135" s="580"/>
      <c r="J135" s="580"/>
      <c r="K135" s="580"/>
      <c r="L135" s="580"/>
      <c r="M135" s="580"/>
      <c r="N135" s="580"/>
      <c r="O135" s="580"/>
      <c r="P135" s="580"/>
    </row>
    <row r="136" spans="1:16" ht="14.4">
      <c r="A136" s="599">
        <v>45945</v>
      </c>
      <c r="B136" s="600">
        <v>1757.95</v>
      </c>
      <c r="C136" s="601">
        <f t="shared" si="4"/>
        <v>-1.7659818518391765E-3</v>
      </c>
      <c r="D136" s="602">
        <v>13000</v>
      </c>
      <c r="E136" s="603">
        <f t="shared" si="5"/>
        <v>-2.9850746268656716E-2</v>
      </c>
      <c r="F136" s="165"/>
      <c r="G136" s="580"/>
      <c r="H136" s="299"/>
      <c r="I136" s="580"/>
      <c r="J136" s="580"/>
      <c r="K136" s="580"/>
      <c r="L136" s="580"/>
      <c r="M136" s="580"/>
      <c r="N136" s="580"/>
      <c r="O136" s="580"/>
      <c r="P136" s="580"/>
    </row>
    <row r="137" spans="1:16" ht="14.4">
      <c r="A137" s="599">
        <v>45944</v>
      </c>
      <c r="B137" s="600">
        <v>1761.06</v>
      </c>
      <c r="C137" s="601">
        <f t="shared" si="4"/>
        <v>-2.3001269035532687E-3</v>
      </c>
      <c r="D137" s="602">
        <v>13400</v>
      </c>
      <c r="E137" s="603">
        <f t="shared" si="5"/>
        <v>-3.2490974729241874E-2</v>
      </c>
      <c r="F137" s="165"/>
      <c r="G137" s="580"/>
      <c r="H137" s="299"/>
      <c r="I137" s="580"/>
      <c r="J137" s="580"/>
      <c r="K137" s="580"/>
      <c r="L137" s="580"/>
      <c r="M137" s="580"/>
      <c r="N137" s="580"/>
      <c r="O137" s="580"/>
      <c r="P137" s="580"/>
    </row>
    <row r="138" spans="1:16" ht="14.4">
      <c r="A138" s="599">
        <v>45943</v>
      </c>
      <c r="B138" s="600">
        <v>1765.12</v>
      </c>
      <c r="C138" s="601">
        <f t="shared" si="4"/>
        <v>1.0054075705988347E-2</v>
      </c>
      <c r="D138" s="602">
        <v>13850</v>
      </c>
      <c r="E138" s="603">
        <f t="shared" si="5"/>
        <v>-3.5971223021582736E-3</v>
      </c>
      <c r="F138" s="165"/>
      <c r="G138" s="580"/>
      <c r="H138" s="299"/>
      <c r="I138" s="580"/>
      <c r="J138" s="580"/>
      <c r="K138" s="580"/>
      <c r="L138" s="580"/>
      <c r="M138" s="580"/>
      <c r="N138" s="580"/>
      <c r="O138" s="580"/>
      <c r="P138" s="580"/>
    </row>
    <row r="139" spans="1:16" ht="14.4">
      <c r="A139" s="599">
        <v>45940</v>
      </c>
      <c r="B139" s="600">
        <v>1747.55</v>
      </c>
      <c r="C139" s="601">
        <f t="shared" si="4"/>
        <v>1.8106928754944698E-2</v>
      </c>
      <c r="D139" s="602">
        <v>13900</v>
      </c>
      <c r="E139" s="603">
        <f t="shared" si="5"/>
        <v>0</v>
      </c>
      <c r="F139" s="165"/>
      <c r="G139" s="580"/>
      <c r="H139" s="299"/>
      <c r="I139" s="580"/>
      <c r="J139" s="580"/>
      <c r="K139" s="580"/>
      <c r="L139" s="580"/>
      <c r="M139" s="580"/>
      <c r="N139" s="580"/>
      <c r="O139" s="580"/>
      <c r="P139" s="580"/>
    </row>
    <row r="140" spans="1:16" ht="14.4">
      <c r="A140" s="599">
        <v>45939</v>
      </c>
      <c r="B140" s="600">
        <v>1716.47</v>
      </c>
      <c r="C140" s="601">
        <f t="shared" si="4"/>
        <v>1.0978719895395946E-2</v>
      </c>
      <c r="D140" s="602">
        <v>13900</v>
      </c>
      <c r="E140" s="603">
        <f t="shared" si="5"/>
        <v>-7.1428571428571426E-3</v>
      </c>
      <c r="F140" s="165"/>
      <c r="G140" s="580"/>
      <c r="H140" s="299"/>
      <c r="I140" s="580"/>
      <c r="J140" s="580"/>
      <c r="K140" s="580"/>
      <c r="L140" s="580"/>
      <c r="M140" s="580"/>
      <c r="N140" s="580"/>
      <c r="O140" s="580"/>
      <c r="P140" s="580"/>
    </row>
    <row r="141" spans="1:16" ht="14.4">
      <c r="A141" s="599">
        <v>45938</v>
      </c>
      <c r="B141" s="600">
        <v>1697.83</v>
      </c>
      <c r="C141" s="601">
        <f t="shared" si="4"/>
        <v>7.4348780632528177E-3</v>
      </c>
      <c r="D141" s="602">
        <v>14000</v>
      </c>
      <c r="E141" s="603">
        <f t="shared" si="5"/>
        <v>1.0830324909747292E-2</v>
      </c>
      <c r="F141" s="165"/>
      <c r="G141" s="580"/>
      <c r="H141" s="299"/>
      <c r="I141" s="580"/>
      <c r="J141" s="580"/>
      <c r="K141" s="580"/>
      <c r="L141" s="580"/>
      <c r="M141" s="580"/>
      <c r="N141" s="580"/>
      <c r="O141" s="580"/>
      <c r="P141" s="580"/>
    </row>
    <row r="142" spans="1:16" ht="14.4">
      <c r="A142" s="599">
        <v>45937</v>
      </c>
      <c r="B142" s="600">
        <v>1685.3</v>
      </c>
      <c r="C142" s="601">
        <f t="shared" si="4"/>
        <v>-6.0159245060454414E-3</v>
      </c>
      <c r="D142" s="602">
        <v>13850</v>
      </c>
      <c r="E142" s="603">
        <f t="shared" si="5"/>
        <v>-2.1201413427561839E-2</v>
      </c>
      <c r="F142" s="165"/>
      <c r="G142" s="580"/>
      <c r="H142" s="299"/>
      <c r="I142" s="580"/>
      <c r="J142" s="580"/>
      <c r="K142" s="580"/>
      <c r="L142" s="580"/>
      <c r="M142" s="580"/>
      <c r="N142" s="580"/>
      <c r="O142" s="580"/>
      <c r="P142" s="580"/>
    </row>
    <row r="143" spans="1:16" ht="14.4">
      <c r="A143" s="599">
        <v>45936</v>
      </c>
      <c r="B143" s="600">
        <v>1695.5</v>
      </c>
      <c r="C143" s="601">
        <f t="shared" si="4"/>
        <v>3.0185560996949887E-2</v>
      </c>
      <c r="D143" s="602">
        <v>14150</v>
      </c>
      <c r="E143" s="603">
        <f t="shared" si="5"/>
        <v>3.2846715328467155E-2</v>
      </c>
      <c r="F143" s="165"/>
      <c r="G143" s="580"/>
      <c r="H143" s="299"/>
      <c r="I143" s="580"/>
      <c r="J143" s="580"/>
      <c r="K143" s="580"/>
      <c r="L143" s="580"/>
      <c r="M143" s="580"/>
      <c r="N143" s="580"/>
      <c r="O143" s="580"/>
      <c r="P143" s="580"/>
    </row>
    <row r="144" spans="1:16" ht="14.4">
      <c r="A144" s="599">
        <v>45933</v>
      </c>
      <c r="B144" s="600">
        <v>1645.82</v>
      </c>
      <c r="C144" s="601">
        <f t="shared" si="4"/>
        <v>-4.1689104561599436E-3</v>
      </c>
      <c r="D144" s="602">
        <v>13700</v>
      </c>
      <c r="E144" s="603">
        <f t="shared" si="5"/>
        <v>-2.1428571428571429E-2</v>
      </c>
      <c r="F144" s="165"/>
      <c r="G144" s="580"/>
      <c r="H144" s="299"/>
      <c r="I144" s="580"/>
      <c r="J144" s="580"/>
      <c r="K144" s="580"/>
      <c r="L144" s="580"/>
      <c r="M144" s="580"/>
      <c r="N144" s="580"/>
      <c r="O144" s="580"/>
      <c r="P144" s="580"/>
    </row>
    <row r="145" spans="1:16" ht="14.4">
      <c r="A145" s="599">
        <v>45932</v>
      </c>
      <c r="B145" s="600">
        <v>1652.71</v>
      </c>
      <c r="C145" s="601">
        <f t="shared" si="4"/>
        <v>-7.4111888531875432E-3</v>
      </c>
      <c r="D145" s="602">
        <v>14000</v>
      </c>
      <c r="E145" s="603">
        <f t="shared" si="5"/>
        <v>-2.4390243902439025E-2</v>
      </c>
      <c r="F145" s="165"/>
      <c r="G145" s="580"/>
      <c r="H145" s="299"/>
      <c r="I145" s="580"/>
      <c r="J145" s="580"/>
      <c r="K145" s="580"/>
      <c r="L145" s="580"/>
      <c r="M145" s="580"/>
      <c r="N145" s="580"/>
      <c r="O145" s="580"/>
      <c r="P145" s="580"/>
    </row>
    <row r="146" spans="1:16" ht="14.4">
      <c r="A146" s="599">
        <v>45931</v>
      </c>
      <c r="B146" s="600">
        <v>1665.05</v>
      </c>
      <c r="C146" s="601">
        <f t="shared" si="4"/>
        <v>2.0160077029547506E-3</v>
      </c>
      <c r="D146" s="602">
        <v>14350</v>
      </c>
      <c r="E146" s="603">
        <f t="shared" si="5"/>
        <v>7.0175438596491229E-3</v>
      </c>
      <c r="F146" s="165"/>
      <c r="G146" s="580"/>
      <c r="H146" s="299"/>
      <c r="I146" s="580"/>
      <c r="J146" s="580"/>
      <c r="K146" s="580"/>
      <c r="L146" s="580"/>
      <c r="M146" s="580"/>
      <c r="N146" s="580"/>
      <c r="O146" s="580"/>
      <c r="P146" s="580"/>
    </row>
    <row r="147" spans="1:16" ht="14.4">
      <c r="A147" s="599">
        <v>45930</v>
      </c>
      <c r="B147" s="600">
        <v>1661.7</v>
      </c>
      <c r="C147" s="601">
        <f t="shared" si="4"/>
        <v>-2.8683212519802054E-3</v>
      </c>
      <c r="D147" s="602">
        <v>14250</v>
      </c>
      <c r="E147" s="603">
        <f t="shared" si="5"/>
        <v>-3.3898305084745763E-2</v>
      </c>
      <c r="F147" s="165"/>
      <c r="G147" s="580"/>
      <c r="H147" s="299"/>
      <c r="I147" s="580"/>
      <c r="J147" s="580"/>
      <c r="K147" s="580"/>
      <c r="L147" s="580"/>
      <c r="M147" s="580"/>
      <c r="N147" s="580"/>
      <c r="O147" s="580"/>
      <c r="P147" s="580"/>
    </row>
    <row r="148" spans="1:16" ht="14.4">
      <c r="A148" s="599">
        <v>45929</v>
      </c>
      <c r="B148" s="600">
        <v>1666.48</v>
      </c>
      <c r="C148" s="601">
        <f t="shared" si="4"/>
        <v>3.4804600469681294E-3</v>
      </c>
      <c r="D148" s="602">
        <v>14750</v>
      </c>
      <c r="E148" s="603">
        <f t="shared" si="5"/>
        <v>-1.6666666666666666E-2</v>
      </c>
      <c r="F148" s="165"/>
      <c r="G148" s="580"/>
      <c r="H148" s="299"/>
      <c r="I148" s="580"/>
      <c r="J148" s="580"/>
      <c r="K148" s="580"/>
      <c r="L148" s="580"/>
      <c r="M148" s="580"/>
      <c r="N148" s="580"/>
      <c r="O148" s="580"/>
      <c r="P148" s="580"/>
    </row>
    <row r="149" spans="1:16" ht="14.4">
      <c r="A149" s="599">
        <v>45926</v>
      </c>
      <c r="B149" s="600">
        <v>1660.7</v>
      </c>
      <c r="C149" s="601">
        <f t="shared" si="4"/>
        <v>-3.2351193512954722E-3</v>
      </c>
      <c r="D149" s="602">
        <v>15000</v>
      </c>
      <c r="E149" s="603">
        <f t="shared" si="5"/>
        <v>2.3890784982935155E-2</v>
      </c>
      <c r="F149" s="165"/>
      <c r="G149" s="580"/>
      <c r="H149" s="299"/>
      <c r="I149" s="580"/>
      <c r="J149" s="580"/>
      <c r="K149" s="580"/>
      <c r="L149" s="580"/>
      <c r="M149" s="580"/>
      <c r="N149" s="580"/>
      <c r="O149" s="580"/>
      <c r="P149" s="580"/>
    </row>
    <row r="150" spans="1:16" ht="14.4">
      <c r="A150" s="599">
        <v>45925</v>
      </c>
      <c r="B150" s="600">
        <v>1666.09</v>
      </c>
      <c r="C150" s="601">
        <f t="shared" si="4"/>
        <v>5.206762154139395E-3</v>
      </c>
      <c r="D150" s="602">
        <v>14650</v>
      </c>
      <c r="E150" s="603">
        <f t="shared" si="5"/>
        <v>1.384083044982699E-2</v>
      </c>
      <c r="F150" s="165"/>
      <c r="G150" s="580"/>
      <c r="H150" s="299"/>
      <c r="I150" s="580"/>
      <c r="J150" s="580"/>
      <c r="K150" s="580"/>
      <c r="L150" s="580"/>
      <c r="M150" s="580"/>
      <c r="N150" s="580"/>
      <c r="O150" s="580"/>
      <c r="P150" s="580"/>
    </row>
    <row r="151" spans="1:16" ht="14.4">
      <c r="A151" s="599">
        <v>45924</v>
      </c>
      <c r="B151" s="600">
        <v>1657.46</v>
      </c>
      <c r="C151" s="601">
        <f t="shared" si="4"/>
        <v>1.3575822804936246E-2</v>
      </c>
      <c r="D151" s="602">
        <v>14450</v>
      </c>
      <c r="E151" s="603">
        <f t="shared" si="5"/>
        <v>2.1201413427561839E-2</v>
      </c>
      <c r="F151" s="165"/>
      <c r="G151" s="580"/>
      <c r="H151" s="299"/>
      <c r="I151" s="580"/>
      <c r="J151" s="580"/>
      <c r="K151" s="580"/>
      <c r="L151" s="580"/>
      <c r="M151" s="580"/>
      <c r="N151" s="580"/>
      <c r="O151" s="580"/>
      <c r="P151" s="580"/>
    </row>
    <row r="152" spans="1:16" ht="14.4">
      <c r="A152" s="599">
        <v>45923</v>
      </c>
      <c r="B152" s="600">
        <v>1635.26</v>
      </c>
      <c r="C152" s="601">
        <f t="shared" si="4"/>
        <v>4.9557955275471592E-4</v>
      </c>
      <c r="D152" s="602">
        <v>14150</v>
      </c>
      <c r="E152" s="603">
        <f t="shared" si="5"/>
        <v>-1.7361111111111112E-2</v>
      </c>
      <c r="F152" s="165"/>
      <c r="G152" s="580"/>
      <c r="H152" s="299"/>
      <c r="I152" s="580"/>
      <c r="J152" s="580"/>
      <c r="K152" s="580"/>
      <c r="L152" s="580"/>
      <c r="M152" s="580"/>
      <c r="N152" s="580"/>
      <c r="O152" s="580"/>
      <c r="P152" s="580"/>
    </row>
    <row r="153" spans="1:16" ht="14.4">
      <c r="A153" s="599">
        <v>45922</v>
      </c>
      <c r="B153" s="600">
        <v>1634.45</v>
      </c>
      <c r="C153" s="601">
        <f t="shared" si="4"/>
        <v>-1.4572355331540585E-2</v>
      </c>
      <c r="D153" s="602">
        <v>14400</v>
      </c>
      <c r="E153" s="603">
        <f t="shared" si="5"/>
        <v>2.8571428571428571E-2</v>
      </c>
      <c r="F153" s="165"/>
      <c r="G153" s="580"/>
      <c r="H153" s="299"/>
      <c r="I153" s="580"/>
      <c r="J153" s="580"/>
      <c r="K153" s="580"/>
      <c r="L153" s="580"/>
      <c r="M153" s="580"/>
      <c r="N153" s="580"/>
      <c r="O153" s="580"/>
      <c r="P153" s="580"/>
    </row>
    <row r="154" spans="1:16" ht="14.4">
      <c r="A154" s="599">
        <v>45919</v>
      </c>
      <c r="B154" s="600">
        <v>1658.62</v>
      </c>
      <c r="C154" s="601">
        <f t="shared" si="4"/>
        <v>-3.9395140465296082E-3</v>
      </c>
      <c r="D154" s="602">
        <v>14000</v>
      </c>
      <c r="E154" s="603">
        <f t="shared" si="5"/>
        <v>1.4492753623188406E-2</v>
      </c>
      <c r="F154" s="165"/>
      <c r="G154" s="580"/>
      <c r="H154" s="299"/>
      <c r="I154" s="580"/>
      <c r="J154" s="580"/>
      <c r="K154" s="580"/>
      <c r="L154" s="580"/>
      <c r="M154" s="580"/>
      <c r="N154" s="580"/>
      <c r="O154" s="580"/>
      <c r="P154" s="580"/>
    </row>
    <row r="155" spans="1:16" ht="14.4">
      <c r="A155" s="599">
        <v>45918</v>
      </c>
      <c r="B155" s="600">
        <v>1665.18</v>
      </c>
      <c r="C155" s="601">
        <f t="shared" si="4"/>
        <v>-3.4650532325535251E-3</v>
      </c>
      <c r="D155" s="602">
        <v>13800</v>
      </c>
      <c r="E155" s="603">
        <f t="shared" si="5"/>
        <v>-1.4285714285714285E-2</v>
      </c>
      <c r="F155" s="165"/>
      <c r="G155" s="580"/>
      <c r="H155" s="299"/>
      <c r="I155" s="580"/>
      <c r="J155" s="580"/>
      <c r="K155" s="580"/>
      <c r="L155" s="580"/>
      <c r="M155" s="580"/>
      <c r="N155" s="580"/>
      <c r="O155" s="580"/>
      <c r="P155" s="580"/>
    </row>
    <row r="156" spans="1:16" ht="14.4">
      <c r="A156" s="599">
        <v>45917</v>
      </c>
      <c r="B156" s="600">
        <v>1670.97</v>
      </c>
      <c r="C156" s="601">
        <f t="shared" si="4"/>
        <v>-5.9075495270391239E-3</v>
      </c>
      <c r="D156" s="602">
        <v>14000</v>
      </c>
      <c r="E156" s="603">
        <f t="shared" si="5"/>
        <v>0</v>
      </c>
      <c r="F156" s="165"/>
      <c r="G156" s="580"/>
      <c r="H156" s="299"/>
      <c r="I156" s="580"/>
      <c r="J156" s="580"/>
      <c r="K156" s="580"/>
      <c r="L156" s="580"/>
      <c r="M156" s="580"/>
      <c r="N156" s="580"/>
      <c r="O156" s="580"/>
      <c r="P156" s="580"/>
    </row>
    <row r="157" spans="1:16" ht="14.4">
      <c r="A157" s="599">
        <v>45916</v>
      </c>
      <c r="B157" s="600">
        <v>1680.9</v>
      </c>
      <c r="C157" s="601">
        <f t="shared" si="4"/>
        <v>-2.3740281322333669E-3</v>
      </c>
      <c r="D157" s="602">
        <v>14000</v>
      </c>
      <c r="E157" s="603">
        <f t="shared" si="5"/>
        <v>-2.097902097902098E-2</v>
      </c>
      <c r="F157" s="165"/>
      <c r="G157" s="580"/>
      <c r="H157" s="299"/>
      <c r="I157" s="580"/>
      <c r="J157" s="580"/>
      <c r="K157" s="580"/>
      <c r="L157" s="580"/>
      <c r="M157" s="580"/>
      <c r="N157" s="580"/>
      <c r="O157" s="580"/>
      <c r="P157" s="580"/>
    </row>
    <row r="158" spans="1:16" ht="14.4">
      <c r="A158" s="599">
        <v>45915</v>
      </c>
      <c r="B158" s="600">
        <v>1684.9</v>
      </c>
      <c r="C158" s="601">
        <f t="shared" si="4"/>
        <v>1.0580233436896526E-2</v>
      </c>
      <c r="D158" s="602">
        <v>14300</v>
      </c>
      <c r="E158" s="603">
        <f t="shared" si="5"/>
        <v>1.7793594306049824E-2</v>
      </c>
      <c r="F158" s="165"/>
      <c r="G158" s="580"/>
      <c r="H158" s="299"/>
      <c r="I158" s="580"/>
      <c r="J158" s="580"/>
      <c r="K158" s="580"/>
      <c r="L158" s="580"/>
      <c r="M158" s="580"/>
      <c r="N158" s="580"/>
      <c r="O158" s="580"/>
      <c r="P158" s="580"/>
    </row>
    <row r="159" spans="1:16" ht="14.4">
      <c r="A159" s="599">
        <v>45912</v>
      </c>
      <c r="B159" s="600">
        <v>1667.26</v>
      </c>
      <c r="C159" s="601">
        <f t="shared" si="4"/>
        <v>5.7366912984466844E-3</v>
      </c>
      <c r="D159" s="602">
        <v>14050</v>
      </c>
      <c r="E159" s="603">
        <f t="shared" si="5"/>
        <v>-1.4035087719298246E-2</v>
      </c>
      <c r="F159" s="165"/>
      <c r="G159" s="580"/>
      <c r="H159" s="299"/>
      <c r="I159" s="580"/>
      <c r="J159" s="580"/>
      <c r="K159" s="580"/>
      <c r="L159" s="580"/>
      <c r="M159" s="580"/>
      <c r="N159" s="580"/>
      <c r="O159" s="580"/>
      <c r="P159" s="580"/>
    </row>
    <row r="160" spans="1:16" ht="14.4">
      <c r="A160" s="599">
        <v>45911</v>
      </c>
      <c r="B160" s="600">
        <v>1657.75</v>
      </c>
      <c r="C160" s="601">
        <f t="shared" si="4"/>
        <v>8.8178377128391178E-3</v>
      </c>
      <c r="D160" s="602">
        <v>14250</v>
      </c>
      <c r="E160" s="603">
        <f t="shared" si="5"/>
        <v>5.1660516605166053E-2</v>
      </c>
      <c r="F160" s="165"/>
      <c r="G160" s="580"/>
      <c r="H160" s="299"/>
      <c r="I160" s="580"/>
      <c r="J160" s="580"/>
      <c r="K160" s="580"/>
      <c r="L160" s="580"/>
      <c r="M160" s="580"/>
      <c r="N160" s="580"/>
      <c r="O160" s="580"/>
      <c r="P160" s="580"/>
    </row>
    <row r="161" spans="1:16" ht="14.4">
      <c r="A161" s="599">
        <v>45910</v>
      </c>
      <c r="B161" s="600">
        <v>1643.26</v>
      </c>
      <c r="C161" s="601">
        <f t="shared" si="4"/>
        <v>3.6278797058608304E-3</v>
      </c>
      <c r="D161" s="602">
        <v>13550</v>
      </c>
      <c r="E161" s="603">
        <f t="shared" si="5"/>
        <v>-1.8115942028985508E-2</v>
      </c>
      <c r="F161" s="165"/>
      <c r="G161" s="580"/>
      <c r="H161" s="299"/>
      <c r="I161" s="580"/>
      <c r="J161" s="580"/>
      <c r="K161" s="580"/>
      <c r="L161" s="580"/>
      <c r="M161" s="580"/>
      <c r="N161" s="580"/>
      <c r="O161" s="580"/>
      <c r="P161" s="580"/>
    </row>
    <row r="162" spans="1:16" ht="14.4">
      <c r="A162" s="599">
        <v>45909</v>
      </c>
      <c r="B162" s="600">
        <v>1637.32</v>
      </c>
      <c r="C162" s="601">
        <f t="shared" si="4"/>
        <v>7.8730463580235291E-3</v>
      </c>
      <c r="D162" s="602">
        <v>13800</v>
      </c>
      <c r="E162" s="603">
        <f t="shared" si="5"/>
        <v>0</v>
      </c>
      <c r="F162" s="165"/>
      <c r="G162" s="580"/>
      <c r="H162" s="299"/>
      <c r="I162" s="580"/>
      <c r="J162" s="580"/>
      <c r="K162" s="580"/>
      <c r="L162" s="580"/>
      <c r="M162" s="580"/>
      <c r="N162" s="580"/>
      <c r="O162" s="580"/>
      <c r="P162" s="580"/>
    </row>
    <row r="163" spans="1:16" ht="14.4">
      <c r="A163" s="599">
        <v>45908</v>
      </c>
      <c r="B163" s="600">
        <v>1624.53</v>
      </c>
      <c r="C163" s="601">
        <f t="shared" si="4"/>
        <v>-2.5459366395316086E-2</v>
      </c>
      <c r="D163" s="602">
        <v>13800</v>
      </c>
      <c r="E163" s="603">
        <f t="shared" si="5"/>
        <v>-3.4965034965034968E-2</v>
      </c>
      <c r="F163" s="165"/>
      <c r="G163" s="580"/>
      <c r="H163" s="299"/>
      <c r="I163" s="580"/>
      <c r="J163" s="580"/>
      <c r="K163" s="580"/>
      <c r="L163" s="580"/>
      <c r="M163" s="580"/>
      <c r="N163" s="580"/>
      <c r="O163" s="580"/>
      <c r="P163" s="580"/>
    </row>
    <row r="164" spans="1:16" ht="14.4">
      <c r="A164" s="599">
        <v>45905</v>
      </c>
      <c r="B164" s="600">
        <v>1666.97</v>
      </c>
      <c r="C164" s="601">
        <f t="shared" si="4"/>
        <v>-1.7284780314686721E-2</v>
      </c>
      <c r="D164" s="602">
        <v>14300</v>
      </c>
      <c r="E164" s="603">
        <f t="shared" si="5"/>
        <v>-1.0380622837370242E-2</v>
      </c>
      <c r="F164" s="165"/>
      <c r="G164" s="580"/>
      <c r="H164" s="299"/>
      <c r="I164" s="580"/>
      <c r="J164" s="580"/>
      <c r="K164" s="580"/>
      <c r="L164" s="580"/>
      <c r="M164" s="580"/>
      <c r="N164" s="580"/>
      <c r="O164" s="580"/>
      <c r="P164" s="580"/>
    </row>
    <row r="165" spans="1:16" ht="14.4">
      <c r="A165" s="599">
        <v>45904</v>
      </c>
      <c r="B165" s="600">
        <v>1696.29</v>
      </c>
      <c r="C165" s="601">
        <f t="shared" si="4"/>
        <v>8.9157199785880031E-3</v>
      </c>
      <c r="D165" s="602">
        <v>14450</v>
      </c>
      <c r="E165" s="603">
        <f t="shared" si="5"/>
        <v>6.9686411149825784E-3</v>
      </c>
      <c r="F165" s="165"/>
      <c r="G165" s="580"/>
      <c r="H165" s="299"/>
      <c r="I165" s="580"/>
      <c r="J165" s="580"/>
      <c r="K165" s="580"/>
      <c r="L165" s="580"/>
      <c r="M165" s="580"/>
      <c r="N165" s="580"/>
      <c r="O165" s="580"/>
      <c r="P165" s="580"/>
    </row>
    <row r="166" spans="1:16" ht="14.4">
      <c r="A166" s="599">
        <v>45903</v>
      </c>
      <c r="B166" s="600">
        <v>1681.3</v>
      </c>
      <c r="C166" s="601">
        <f t="shared" si="4"/>
        <v>-5.4095505317414702E-4</v>
      </c>
      <c r="D166" s="602">
        <v>14350</v>
      </c>
      <c r="E166" s="603">
        <f t="shared" si="5"/>
        <v>1.7730496453900711E-2</v>
      </c>
      <c r="F166" s="165"/>
      <c r="G166" s="580"/>
      <c r="H166" s="299"/>
      <c r="I166" s="580"/>
      <c r="J166" s="580"/>
      <c r="K166" s="580"/>
      <c r="L166" s="580"/>
      <c r="M166" s="580"/>
      <c r="N166" s="580"/>
      <c r="O166" s="580"/>
      <c r="P166" s="580"/>
    </row>
    <row r="167" spans="1:16" ht="14.4">
      <c r="A167" s="599">
        <v>45898</v>
      </c>
      <c r="B167" s="600">
        <v>1682.21</v>
      </c>
      <c r="C167" s="601">
        <f t="shared" si="4"/>
        <v>8.0316028699602376E-4</v>
      </c>
      <c r="D167" s="602">
        <v>14100</v>
      </c>
      <c r="E167" s="603">
        <f t="shared" si="5"/>
        <v>3.5587188612099642E-3</v>
      </c>
      <c r="F167" s="165"/>
      <c r="G167" s="580"/>
      <c r="H167" s="299"/>
      <c r="I167" s="580"/>
      <c r="J167" s="580"/>
      <c r="K167" s="580"/>
      <c r="L167" s="580"/>
      <c r="M167" s="580"/>
      <c r="N167" s="580"/>
      <c r="O167" s="580"/>
      <c r="P167" s="580"/>
    </row>
    <row r="168" spans="1:16" ht="14.4">
      <c r="A168" s="599">
        <v>45897</v>
      </c>
      <c r="B168" s="600">
        <v>1680.86</v>
      </c>
      <c r="C168" s="601">
        <f t="shared" si="4"/>
        <v>4.8302825237030141E-3</v>
      </c>
      <c r="D168" s="602">
        <v>14050</v>
      </c>
      <c r="E168" s="603">
        <f t="shared" si="5"/>
        <v>3.5714285714285713E-3</v>
      </c>
      <c r="F168" s="165"/>
      <c r="G168" s="580"/>
      <c r="H168" s="299"/>
      <c r="I168" s="580"/>
      <c r="J168" s="580"/>
      <c r="K168" s="580"/>
      <c r="L168" s="580"/>
      <c r="M168" s="580"/>
      <c r="N168" s="580"/>
      <c r="O168" s="580"/>
      <c r="P168" s="580"/>
    </row>
    <row r="169" spans="1:16" ht="14.4">
      <c r="A169" s="599">
        <v>45896</v>
      </c>
      <c r="B169" s="600">
        <v>1672.78</v>
      </c>
      <c r="C169" s="601">
        <f t="shared" si="4"/>
        <v>3.088215011723142E-3</v>
      </c>
      <c r="D169" s="602">
        <v>14000</v>
      </c>
      <c r="E169" s="603">
        <f t="shared" si="5"/>
        <v>-1.4084507042253521E-2</v>
      </c>
      <c r="F169" s="165"/>
      <c r="G169" s="580"/>
      <c r="H169" s="299"/>
      <c r="I169" s="580"/>
      <c r="J169" s="580"/>
      <c r="K169" s="580"/>
      <c r="L169" s="580"/>
      <c r="M169" s="580"/>
      <c r="N169" s="580"/>
      <c r="O169" s="580"/>
      <c r="P169" s="580"/>
    </row>
    <row r="170" spans="1:16" ht="14.4">
      <c r="A170" s="599">
        <v>45895</v>
      </c>
      <c r="B170" s="600">
        <v>1667.63</v>
      </c>
      <c r="C170" s="601">
        <f t="shared" si="4"/>
        <v>3.320880033208809E-2</v>
      </c>
      <c r="D170" s="602">
        <v>14200</v>
      </c>
      <c r="E170" s="603">
        <f t="shared" si="5"/>
        <v>4.797047970479705E-2</v>
      </c>
      <c r="F170" s="165"/>
      <c r="G170" s="580"/>
      <c r="H170" s="299"/>
      <c r="I170" s="580"/>
      <c r="J170" s="580"/>
      <c r="K170" s="580"/>
      <c r="L170" s="580"/>
      <c r="M170" s="580"/>
      <c r="N170" s="580"/>
      <c r="O170" s="580"/>
      <c r="P170" s="580"/>
    </row>
    <row r="171" spans="1:16" ht="14.4">
      <c r="A171" s="599">
        <v>45894</v>
      </c>
      <c r="B171" s="600">
        <v>1614.03</v>
      </c>
      <c r="C171" s="601">
        <f t="shared" si="4"/>
        <v>-1.9107002862404087E-2</v>
      </c>
      <c r="D171" s="602">
        <v>13550</v>
      </c>
      <c r="E171" s="603">
        <f t="shared" si="5"/>
        <v>-2.1660649819494584E-2</v>
      </c>
      <c r="F171" s="165"/>
      <c r="G171" s="580"/>
      <c r="H171" s="299"/>
      <c r="I171" s="580"/>
      <c r="J171" s="580"/>
      <c r="K171" s="580"/>
      <c r="L171" s="580"/>
      <c r="M171" s="580"/>
      <c r="N171" s="580"/>
      <c r="O171" s="580"/>
      <c r="P171" s="580"/>
    </row>
    <row r="172" spans="1:16" ht="14.4">
      <c r="A172" s="599">
        <v>45891</v>
      </c>
      <c r="B172" s="600">
        <v>1645.47</v>
      </c>
      <c r="C172" s="601">
        <f t="shared" si="4"/>
        <v>-2.5195497630331739E-2</v>
      </c>
      <c r="D172" s="602">
        <v>13850</v>
      </c>
      <c r="E172" s="603">
        <f t="shared" si="5"/>
        <v>-6.7340067340067339E-2</v>
      </c>
      <c r="F172" s="165"/>
      <c r="G172" s="580"/>
      <c r="H172" s="299"/>
      <c r="I172" s="580"/>
      <c r="J172" s="580"/>
      <c r="K172" s="580"/>
      <c r="L172" s="580"/>
      <c r="M172" s="580"/>
      <c r="N172" s="580"/>
      <c r="O172" s="580"/>
      <c r="P172" s="580"/>
    </row>
    <row r="173" spans="1:16" ht="14.4">
      <c r="A173" s="599">
        <v>45890</v>
      </c>
      <c r="B173" s="600">
        <v>1688</v>
      </c>
      <c r="C173" s="601">
        <f t="shared" si="4"/>
        <v>1.4203657862481735E-2</v>
      </c>
      <c r="D173" s="602">
        <v>14850</v>
      </c>
      <c r="E173" s="603">
        <f t="shared" si="5"/>
        <v>-2.3026315789473683E-2</v>
      </c>
      <c r="F173" s="165"/>
      <c r="G173" s="580"/>
      <c r="H173" s="299"/>
      <c r="I173" s="580"/>
      <c r="J173" s="580"/>
      <c r="K173" s="580"/>
      <c r="L173" s="580"/>
      <c r="M173" s="580"/>
      <c r="N173" s="580"/>
      <c r="O173" s="580"/>
      <c r="P173" s="580"/>
    </row>
    <row r="174" spans="1:16" ht="14.4">
      <c r="A174" s="599">
        <v>45889</v>
      </c>
      <c r="B174" s="600">
        <v>1664.36</v>
      </c>
      <c r="C174" s="601">
        <f t="shared" si="4"/>
        <v>6.1419417240961517E-3</v>
      </c>
      <c r="D174" s="602">
        <v>15200</v>
      </c>
      <c r="E174" s="603">
        <f t="shared" si="5"/>
        <v>-0.05</v>
      </c>
      <c r="F174" s="165"/>
      <c r="G174" s="580"/>
      <c r="H174" s="299"/>
      <c r="I174" s="580"/>
      <c r="J174" s="580"/>
      <c r="K174" s="580"/>
      <c r="L174" s="580"/>
      <c r="M174" s="580"/>
      <c r="N174" s="580"/>
      <c r="O174" s="580"/>
      <c r="P174" s="580"/>
    </row>
    <row r="175" spans="1:16" ht="14.4">
      <c r="A175" s="599">
        <v>45888</v>
      </c>
      <c r="B175" s="600">
        <v>1654.2</v>
      </c>
      <c r="C175" s="601">
        <f t="shared" si="4"/>
        <v>1.089606873751056E-2</v>
      </c>
      <c r="D175" s="602">
        <v>16000</v>
      </c>
      <c r="E175" s="603">
        <f t="shared" si="5"/>
        <v>4.9180327868852458E-2</v>
      </c>
      <c r="F175" s="165"/>
      <c r="G175" s="580"/>
      <c r="H175" s="299"/>
      <c r="I175" s="580"/>
      <c r="J175" s="580"/>
      <c r="K175" s="580"/>
      <c r="L175" s="580"/>
      <c r="M175" s="580"/>
      <c r="N175" s="580"/>
      <c r="O175" s="580"/>
      <c r="P175" s="580"/>
    </row>
    <row r="176" spans="1:16" ht="14.4">
      <c r="A176" s="599">
        <v>45887</v>
      </c>
      <c r="B176" s="600">
        <v>1636.37</v>
      </c>
      <c r="C176" s="601">
        <f t="shared" si="4"/>
        <v>3.907975460122632E-3</v>
      </c>
      <c r="D176" s="602">
        <v>15250</v>
      </c>
      <c r="E176" s="603">
        <f t="shared" si="5"/>
        <v>2.3489932885906041E-2</v>
      </c>
      <c r="F176" s="165"/>
      <c r="G176" s="580"/>
      <c r="H176" s="299"/>
      <c r="I176" s="580"/>
      <c r="J176" s="580"/>
      <c r="K176" s="580"/>
      <c r="L176" s="580"/>
      <c r="M176" s="580"/>
      <c r="N176" s="580"/>
      <c r="O176" s="580"/>
      <c r="P176" s="580"/>
    </row>
    <row r="177" spans="1:16" ht="14.4">
      <c r="A177" s="599">
        <v>45884</v>
      </c>
      <c r="B177" s="600">
        <v>1630</v>
      </c>
      <c r="C177" s="601">
        <f t="shared" si="4"/>
        <v>-6.5155513838690152E-3</v>
      </c>
      <c r="D177" s="602">
        <v>14900</v>
      </c>
      <c r="E177" s="603">
        <f t="shared" si="5"/>
        <v>-4.4871794871794872E-2</v>
      </c>
      <c r="F177" s="165"/>
      <c r="G177" s="580"/>
      <c r="H177" s="299"/>
      <c r="I177" s="580"/>
      <c r="J177" s="580"/>
      <c r="K177" s="580"/>
      <c r="L177" s="580"/>
      <c r="M177" s="580"/>
      <c r="N177" s="580"/>
      <c r="O177" s="580"/>
      <c r="P177" s="580"/>
    </row>
    <row r="178" spans="1:16" ht="14.4">
      <c r="A178" s="599">
        <v>45883</v>
      </c>
      <c r="B178" s="600">
        <v>1640.69</v>
      </c>
      <c r="C178" s="601">
        <f t="shared" si="4"/>
        <v>1.8050384710846454E-2</v>
      </c>
      <c r="D178" s="602">
        <v>15600</v>
      </c>
      <c r="E178" s="603">
        <f t="shared" si="5"/>
        <v>-2.1943573667711599E-2</v>
      </c>
      <c r="F178" s="165"/>
      <c r="G178" s="580"/>
      <c r="H178" s="299"/>
      <c r="I178" s="580"/>
      <c r="J178" s="580"/>
      <c r="K178" s="580"/>
      <c r="L178" s="580"/>
      <c r="M178" s="580"/>
      <c r="N178" s="580"/>
      <c r="O178" s="580"/>
      <c r="P178" s="580"/>
    </row>
    <row r="179" spans="1:16" ht="14.4">
      <c r="A179" s="599">
        <v>45882</v>
      </c>
      <c r="B179" s="600">
        <v>1611.6</v>
      </c>
      <c r="C179" s="601">
        <f t="shared" si="4"/>
        <v>2.1017025033887664E-3</v>
      </c>
      <c r="D179" s="602">
        <v>15950</v>
      </c>
      <c r="E179" s="603">
        <f t="shared" si="5"/>
        <v>6.6889632107023408E-2</v>
      </c>
      <c r="F179" s="165"/>
      <c r="G179" s="580"/>
      <c r="H179" s="299"/>
      <c r="I179" s="580"/>
      <c r="J179" s="580"/>
      <c r="K179" s="580"/>
      <c r="L179" s="580"/>
      <c r="M179" s="580"/>
      <c r="N179" s="580"/>
      <c r="O179" s="580"/>
      <c r="P179" s="580"/>
    </row>
    <row r="180" spans="1:16" ht="14.4">
      <c r="A180" s="599">
        <v>45881</v>
      </c>
      <c r="B180" s="600">
        <v>1608.22</v>
      </c>
      <c r="C180" s="601">
        <f t="shared" si="4"/>
        <v>7.1139611487545107E-3</v>
      </c>
      <c r="D180" s="602">
        <v>14950</v>
      </c>
      <c r="E180" s="603">
        <f t="shared" si="5"/>
        <v>-9.9337748344370865E-3</v>
      </c>
      <c r="F180" s="165"/>
      <c r="G180" s="580"/>
      <c r="H180" s="299"/>
      <c r="I180" s="580"/>
      <c r="J180" s="580"/>
      <c r="K180" s="580"/>
      <c r="L180" s="580"/>
      <c r="M180" s="580"/>
      <c r="N180" s="580"/>
      <c r="O180" s="580"/>
      <c r="P180" s="580"/>
    </row>
    <row r="181" spans="1:16" ht="14.4">
      <c r="A181" s="599">
        <v>45880</v>
      </c>
      <c r="B181" s="600">
        <v>1596.86</v>
      </c>
      <c r="C181" s="601">
        <f t="shared" si="4"/>
        <v>7.514432631944133E-3</v>
      </c>
      <c r="D181" s="602">
        <v>15100</v>
      </c>
      <c r="E181" s="603">
        <f t="shared" si="5"/>
        <v>6.6666666666666671E-3</v>
      </c>
      <c r="F181" s="165"/>
      <c r="G181" s="580"/>
      <c r="H181" s="299"/>
      <c r="I181" s="580"/>
      <c r="J181" s="580"/>
      <c r="K181" s="580"/>
      <c r="L181" s="580"/>
      <c r="M181" s="580"/>
      <c r="N181" s="580"/>
      <c r="O181" s="580"/>
      <c r="P181" s="580"/>
    </row>
    <row r="182" spans="1:16" ht="14.4">
      <c r="A182" s="599">
        <v>45877</v>
      </c>
      <c r="B182" s="600">
        <v>1584.95</v>
      </c>
      <c r="C182" s="601">
        <f t="shared" si="4"/>
        <v>1.9850677388561838E-3</v>
      </c>
      <c r="D182" s="602">
        <v>15000</v>
      </c>
      <c r="E182" s="603">
        <f t="shared" si="5"/>
        <v>1.0101010101010102E-2</v>
      </c>
      <c r="F182" s="165"/>
      <c r="G182" s="580"/>
      <c r="H182" s="299"/>
      <c r="I182" s="580"/>
      <c r="J182" s="580"/>
      <c r="K182" s="580"/>
      <c r="L182" s="580"/>
      <c r="M182" s="580"/>
      <c r="N182" s="580"/>
      <c r="O182" s="580"/>
      <c r="P182" s="580"/>
    </row>
    <row r="183" spans="1:16" ht="14.4">
      <c r="A183" s="599">
        <v>45876</v>
      </c>
      <c r="B183" s="600">
        <v>1581.81</v>
      </c>
      <c r="C183" s="601">
        <f t="shared" si="4"/>
        <v>5.1470728406122533E-3</v>
      </c>
      <c r="D183" s="602">
        <v>14850</v>
      </c>
      <c r="E183" s="603">
        <f t="shared" si="5"/>
        <v>-6.688963210702341E-3</v>
      </c>
      <c r="F183" s="165"/>
      <c r="G183" s="580"/>
      <c r="H183" s="299"/>
      <c r="I183" s="580"/>
      <c r="J183" s="580"/>
      <c r="K183" s="580"/>
      <c r="L183" s="580"/>
      <c r="M183" s="580"/>
      <c r="N183" s="580"/>
      <c r="O183" s="580"/>
      <c r="P183" s="580"/>
    </row>
    <row r="184" spans="1:16" ht="14.4">
      <c r="A184" s="599">
        <v>45875</v>
      </c>
      <c r="B184" s="600">
        <v>1573.71</v>
      </c>
      <c r="C184" s="601">
        <f t="shared" si="4"/>
        <v>1.7167049090262704E-2</v>
      </c>
      <c r="D184" s="602">
        <v>14950</v>
      </c>
      <c r="E184" s="603">
        <f t="shared" si="5"/>
        <v>-1.3201320132013201E-2</v>
      </c>
      <c r="F184" s="165"/>
      <c r="G184" s="580"/>
      <c r="H184" s="299"/>
      <c r="I184" s="580"/>
      <c r="J184" s="580"/>
      <c r="K184" s="580"/>
      <c r="L184" s="580"/>
      <c r="M184" s="580"/>
      <c r="N184" s="580"/>
      <c r="O184" s="580"/>
      <c r="P184" s="580"/>
    </row>
    <row r="185" spans="1:16" ht="14.4">
      <c r="A185" s="599">
        <v>45874</v>
      </c>
      <c r="B185" s="600">
        <v>1547.15</v>
      </c>
      <c r="C185" s="601">
        <f t="shared" si="4"/>
        <v>1.2406834228728127E-2</v>
      </c>
      <c r="D185" s="602">
        <v>15150</v>
      </c>
      <c r="E185" s="603">
        <f t="shared" si="5"/>
        <v>2.0202020202020204E-2</v>
      </c>
      <c r="F185" s="165"/>
      <c r="G185" s="580"/>
      <c r="H185" s="299"/>
      <c r="I185" s="580"/>
      <c r="J185" s="580"/>
      <c r="K185" s="580"/>
      <c r="L185" s="580"/>
      <c r="M185" s="580"/>
      <c r="N185" s="580"/>
      <c r="O185" s="580"/>
      <c r="P185" s="580"/>
    </row>
    <row r="186" spans="1:16" ht="14.4">
      <c r="A186" s="599">
        <v>45873</v>
      </c>
      <c r="B186" s="600">
        <v>1528.19</v>
      </c>
      <c r="C186" s="601">
        <f t="shared" si="4"/>
        <v>2.2057102346827548E-2</v>
      </c>
      <c r="D186" s="602">
        <v>14850</v>
      </c>
      <c r="E186" s="603">
        <f t="shared" si="5"/>
        <v>6.83453237410072E-2</v>
      </c>
      <c r="F186" s="165"/>
      <c r="G186" s="580"/>
      <c r="H186" s="299"/>
      <c r="I186" s="580"/>
      <c r="J186" s="580"/>
      <c r="K186" s="580"/>
      <c r="L186" s="580"/>
      <c r="M186" s="580"/>
      <c r="N186" s="580"/>
      <c r="O186" s="580"/>
      <c r="P186" s="580"/>
    </row>
    <row r="187" spans="1:16" ht="14.4">
      <c r="A187" s="599">
        <v>45870</v>
      </c>
      <c r="B187" s="600">
        <v>1495.21</v>
      </c>
      <c r="C187" s="601">
        <f t="shared" si="4"/>
        <v>-4.8651598647604993E-3</v>
      </c>
      <c r="D187" s="602">
        <v>13900</v>
      </c>
      <c r="E187" s="603">
        <f t="shared" si="5"/>
        <v>6.9230769230769235E-2</v>
      </c>
      <c r="F187" s="165"/>
      <c r="G187" s="580"/>
      <c r="H187" s="299"/>
      <c r="I187" s="580"/>
      <c r="J187" s="580"/>
      <c r="K187" s="580"/>
      <c r="L187" s="580"/>
      <c r="M187" s="580"/>
      <c r="N187" s="580"/>
      <c r="O187" s="580"/>
      <c r="P187" s="580"/>
    </row>
    <row r="188" spans="1:16" ht="14.4">
      <c r="A188" s="599">
        <v>45869</v>
      </c>
      <c r="B188" s="600">
        <v>1502.52</v>
      </c>
      <c r="C188" s="601">
        <f t="shared" si="4"/>
        <v>-3.3894257874943633E-3</v>
      </c>
      <c r="D188" s="602">
        <v>13000</v>
      </c>
      <c r="E188" s="603">
        <f t="shared" si="5"/>
        <v>1.5625E-2</v>
      </c>
      <c r="F188" s="165"/>
      <c r="G188" s="580"/>
      <c r="H188" s="299"/>
      <c r="I188" s="580"/>
      <c r="J188" s="580"/>
      <c r="K188" s="580"/>
      <c r="L188" s="580"/>
      <c r="M188" s="580"/>
      <c r="N188" s="580"/>
      <c r="O188" s="580"/>
      <c r="P188" s="580"/>
    </row>
    <row r="189" spans="1:16" ht="14.4">
      <c r="A189" s="599">
        <v>45868</v>
      </c>
      <c r="B189" s="600">
        <v>1507.63</v>
      </c>
      <c r="C189" s="601">
        <f t="shared" si="4"/>
        <v>9.521832584487867E-3</v>
      </c>
      <c r="D189" s="602">
        <v>12800</v>
      </c>
      <c r="E189" s="603">
        <f t="shared" si="5"/>
        <v>-1.5384615384615385E-2</v>
      </c>
      <c r="F189" s="165"/>
      <c r="G189" s="580"/>
      <c r="H189" s="299"/>
      <c r="I189" s="580"/>
      <c r="J189" s="580"/>
      <c r="K189" s="580"/>
      <c r="L189" s="580"/>
      <c r="M189" s="580"/>
      <c r="N189" s="580"/>
      <c r="O189" s="580"/>
      <c r="P189" s="580"/>
    </row>
    <row r="190" spans="1:16" ht="14.4">
      <c r="A190" s="599">
        <v>45867</v>
      </c>
      <c r="B190" s="600">
        <v>1493.41</v>
      </c>
      <c r="C190" s="601">
        <f t="shared" si="4"/>
        <v>-4.1100024399327084E-2</v>
      </c>
      <c r="D190" s="602">
        <v>13000</v>
      </c>
      <c r="E190" s="603">
        <f t="shared" si="5"/>
        <v>-6.8100358422939072E-2</v>
      </c>
      <c r="F190" s="165"/>
      <c r="G190" s="580"/>
      <c r="H190" s="299"/>
      <c r="I190" s="580"/>
      <c r="J190" s="580"/>
      <c r="K190" s="580"/>
      <c r="L190" s="580"/>
      <c r="M190" s="580"/>
      <c r="N190" s="580"/>
      <c r="O190" s="580"/>
      <c r="P190" s="580"/>
    </row>
    <row r="191" spans="1:16" ht="14.4">
      <c r="A191" s="599">
        <v>45866</v>
      </c>
      <c r="B191" s="600">
        <v>1557.42</v>
      </c>
      <c r="C191" s="601">
        <f t="shared" si="4"/>
        <v>1.7170325184667507E-2</v>
      </c>
      <c r="D191" s="602">
        <v>13950</v>
      </c>
      <c r="E191" s="603">
        <f t="shared" si="5"/>
        <v>3.5971223021582736E-3</v>
      </c>
      <c r="F191" s="165"/>
      <c r="G191" s="580"/>
      <c r="H191" s="299"/>
      <c r="I191" s="580"/>
      <c r="J191" s="580"/>
      <c r="K191" s="580"/>
      <c r="L191" s="580"/>
      <c r="M191" s="580"/>
      <c r="N191" s="580"/>
      <c r="O191" s="580"/>
      <c r="P191" s="580"/>
    </row>
    <row r="192" spans="1:16" ht="14.4">
      <c r="A192" s="599">
        <v>45863</v>
      </c>
      <c r="B192" s="600">
        <v>1531.13</v>
      </c>
      <c r="C192" s="601">
        <f t="shared" si="4"/>
        <v>6.6468553996660972E-3</v>
      </c>
      <c r="D192" s="602">
        <v>13900</v>
      </c>
      <c r="E192" s="603">
        <f t="shared" si="5"/>
        <v>2.2058823529411766E-2</v>
      </c>
      <c r="F192" s="165"/>
      <c r="G192" s="580"/>
      <c r="H192" s="299"/>
      <c r="I192" s="580"/>
      <c r="J192" s="580"/>
      <c r="K192" s="580"/>
      <c r="L192" s="580"/>
      <c r="M192" s="580"/>
      <c r="N192" s="580"/>
      <c r="O192" s="580"/>
      <c r="P192" s="580"/>
    </row>
    <row r="193" spans="1:16" ht="14.4">
      <c r="A193" s="599">
        <v>45862</v>
      </c>
      <c r="B193" s="600">
        <v>1521.02</v>
      </c>
      <c r="C193" s="601">
        <f t="shared" si="4"/>
        <v>5.7594011809748245E-3</v>
      </c>
      <c r="D193" s="602">
        <v>13600</v>
      </c>
      <c r="E193" s="603">
        <f t="shared" si="5"/>
        <v>-1.8050541516245487E-2</v>
      </c>
      <c r="F193" s="165"/>
      <c r="G193" s="580"/>
      <c r="H193" s="299"/>
      <c r="I193" s="580"/>
      <c r="J193" s="580"/>
      <c r="K193" s="580"/>
      <c r="L193" s="580"/>
      <c r="M193" s="580"/>
      <c r="N193" s="580"/>
      <c r="O193" s="580"/>
      <c r="P193" s="580"/>
    </row>
    <row r="194" spans="1:16" ht="14.4">
      <c r="A194" s="599">
        <v>45861</v>
      </c>
      <c r="B194" s="600">
        <v>1512.31</v>
      </c>
      <c r="C194" s="601">
        <f t="shared" si="4"/>
        <v>1.8349960915245583E-3</v>
      </c>
      <c r="D194" s="602">
        <v>13850</v>
      </c>
      <c r="E194" s="603">
        <f t="shared" si="5"/>
        <v>6.9498069498069498E-2</v>
      </c>
      <c r="F194" s="165"/>
      <c r="G194" s="580"/>
      <c r="H194" s="299"/>
      <c r="I194" s="580"/>
      <c r="J194" s="580"/>
      <c r="K194" s="580"/>
      <c r="L194" s="580"/>
      <c r="M194" s="580"/>
      <c r="N194" s="580"/>
      <c r="O194" s="580"/>
      <c r="P194" s="580"/>
    </row>
    <row r="195" spans="1:16" ht="14.4">
      <c r="A195" s="599">
        <v>45860</v>
      </c>
      <c r="B195" s="600">
        <v>1509.54</v>
      </c>
      <c r="C195" s="601">
        <f t="shared" si="4"/>
        <v>1.6491027238140138E-2</v>
      </c>
      <c r="D195" s="602">
        <v>12950</v>
      </c>
      <c r="E195" s="603">
        <f t="shared" si="5"/>
        <v>-7.6628352490421452E-3</v>
      </c>
      <c r="F195" s="165"/>
      <c r="G195" s="580"/>
      <c r="H195" s="299"/>
      <c r="I195" s="580"/>
      <c r="J195" s="580"/>
      <c r="K195" s="580"/>
      <c r="L195" s="580"/>
      <c r="M195" s="580"/>
      <c r="N195" s="580"/>
      <c r="O195" s="580"/>
      <c r="P195" s="580"/>
    </row>
    <row r="196" spans="1:16" ht="14.4">
      <c r="A196" s="599">
        <v>45859</v>
      </c>
      <c r="B196" s="600">
        <v>1485.05</v>
      </c>
      <c r="C196" s="601">
        <f t="shared" si="4"/>
        <v>-8.168144902757012E-3</v>
      </c>
      <c r="D196" s="602">
        <v>13050</v>
      </c>
      <c r="E196" s="603">
        <f t="shared" si="5"/>
        <v>2.7559055118110236E-2</v>
      </c>
      <c r="F196" s="165"/>
      <c r="G196" s="580"/>
      <c r="H196" s="299"/>
      <c r="I196" s="580"/>
      <c r="J196" s="580"/>
      <c r="K196" s="580"/>
      <c r="L196" s="580"/>
      <c r="M196" s="580"/>
      <c r="N196" s="580"/>
      <c r="O196" s="580"/>
      <c r="P196" s="580"/>
    </row>
    <row r="197" spans="1:16" ht="14.4">
      <c r="A197" s="599">
        <v>45856</v>
      </c>
      <c r="B197" s="600">
        <v>1497.28</v>
      </c>
      <c r="C197" s="601">
        <f t="shared" si="4"/>
        <v>4.8791618848195526E-3</v>
      </c>
      <c r="D197" s="602">
        <v>12700</v>
      </c>
      <c r="E197" s="603">
        <f t="shared" si="5"/>
        <v>-1.5503875968992248E-2</v>
      </c>
      <c r="F197" s="165"/>
      <c r="G197" s="580"/>
      <c r="H197" s="299"/>
      <c r="I197" s="580"/>
      <c r="J197" s="580"/>
      <c r="K197" s="580"/>
      <c r="L197" s="580"/>
      <c r="M197" s="580"/>
      <c r="N197" s="580"/>
      <c r="O197" s="580"/>
      <c r="P197" s="580"/>
    </row>
    <row r="198" spans="1:16" ht="14.4">
      <c r="A198" s="599">
        <v>45855</v>
      </c>
      <c r="B198" s="600">
        <v>1490.01</v>
      </c>
      <c r="C198" s="601">
        <f t="shared" ref="C198:C250" si="6">(B198-B199)/B199</f>
        <v>9.8544870448060377E-3</v>
      </c>
      <c r="D198" s="602">
        <v>12900</v>
      </c>
      <c r="E198" s="603">
        <f t="shared" ref="E198:E250" si="7">(D198-D199)/D199</f>
        <v>7.8125E-3</v>
      </c>
      <c r="F198" s="165"/>
      <c r="G198" s="580"/>
      <c r="H198" s="299"/>
      <c r="I198" s="580"/>
      <c r="J198" s="580"/>
      <c r="K198" s="580"/>
      <c r="L198" s="580"/>
      <c r="M198" s="580"/>
      <c r="N198" s="580"/>
      <c r="O198" s="580"/>
      <c r="P198" s="580"/>
    </row>
    <row r="199" spans="1:16" ht="14.4">
      <c r="A199" s="599">
        <v>45854</v>
      </c>
      <c r="B199" s="600">
        <v>1475.47</v>
      </c>
      <c r="C199" s="601">
        <f t="shared" si="6"/>
        <v>1.0146167802005912E-2</v>
      </c>
      <c r="D199" s="602">
        <v>12800</v>
      </c>
      <c r="E199" s="603">
        <f t="shared" si="7"/>
        <v>0</v>
      </c>
      <c r="F199" s="165"/>
      <c r="G199" s="580"/>
      <c r="H199" s="299"/>
      <c r="I199" s="580"/>
      <c r="J199" s="580"/>
      <c r="K199" s="580"/>
      <c r="L199" s="580"/>
      <c r="M199" s="580"/>
      <c r="N199" s="580"/>
      <c r="O199" s="580"/>
      <c r="P199" s="580"/>
    </row>
    <row r="200" spans="1:16" ht="14.4">
      <c r="A200" s="599">
        <v>45853</v>
      </c>
      <c r="B200" s="600">
        <v>1460.65</v>
      </c>
      <c r="C200" s="601">
        <f t="shared" si="6"/>
        <v>-6.6443601147971199E-3</v>
      </c>
      <c r="D200" s="602">
        <v>12800</v>
      </c>
      <c r="E200" s="603">
        <f t="shared" si="7"/>
        <v>1.9920318725099601E-2</v>
      </c>
      <c r="F200" s="165"/>
      <c r="G200" s="580"/>
      <c r="H200" s="299"/>
      <c r="I200" s="580"/>
      <c r="J200" s="580"/>
      <c r="K200" s="580"/>
      <c r="L200" s="580"/>
      <c r="M200" s="580"/>
      <c r="N200" s="580"/>
      <c r="O200" s="580"/>
      <c r="P200" s="580"/>
    </row>
    <row r="201" spans="1:16" ht="14.4">
      <c r="A201" s="599">
        <v>45852</v>
      </c>
      <c r="B201" s="600">
        <v>1470.42</v>
      </c>
      <c r="C201" s="601">
        <f t="shared" si="6"/>
        <v>8.6845571287455289E-3</v>
      </c>
      <c r="D201" s="602">
        <v>12550</v>
      </c>
      <c r="E201" s="603">
        <f t="shared" si="7"/>
        <v>-3.968253968253968E-3</v>
      </c>
      <c r="F201" s="165"/>
      <c r="G201" s="580"/>
      <c r="H201" s="299"/>
      <c r="I201" s="580"/>
      <c r="J201" s="580"/>
      <c r="K201" s="580"/>
      <c r="L201" s="580"/>
      <c r="M201" s="580"/>
      <c r="N201" s="580"/>
      <c r="O201" s="580"/>
      <c r="P201" s="580"/>
    </row>
    <row r="202" spans="1:16" ht="14.4">
      <c r="A202" s="599">
        <v>45849</v>
      </c>
      <c r="B202" s="600">
        <v>1457.76</v>
      </c>
      <c r="C202" s="601">
        <f t="shared" si="6"/>
        <v>8.3838299991698412E-3</v>
      </c>
      <c r="D202" s="602">
        <v>12600</v>
      </c>
      <c r="E202" s="603">
        <f t="shared" si="7"/>
        <v>-1.5625E-2</v>
      </c>
      <c r="F202" s="165"/>
      <c r="G202" s="580"/>
      <c r="H202" s="299"/>
      <c r="I202" s="580"/>
      <c r="J202" s="580"/>
      <c r="K202" s="580"/>
      <c r="L202" s="580"/>
      <c r="M202" s="580"/>
      <c r="N202" s="580"/>
      <c r="O202" s="580"/>
      <c r="P202" s="580"/>
    </row>
    <row r="203" spans="1:16" ht="14.4">
      <c r="A203" s="599">
        <v>45848</v>
      </c>
      <c r="B203" s="600">
        <v>1445.64</v>
      </c>
      <c r="C203" s="601">
        <f t="shared" si="6"/>
        <v>1.0004750859346732E-2</v>
      </c>
      <c r="D203" s="602">
        <v>12800</v>
      </c>
      <c r="E203" s="603">
        <f t="shared" si="7"/>
        <v>3.2258064516129031E-2</v>
      </c>
      <c r="F203" s="165"/>
      <c r="G203" s="580"/>
      <c r="H203" s="299"/>
      <c r="I203" s="580"/>
      <c r="J203" s="580"/>
      <c r="K203" s="580"/>
      <c r="L203" s="580"/>
      <c r="M203" s="580"/>
      <c r="N203" s="580"/>
      <c r="O203" s="580"/>
      <c r="P203" s="580"/>
    </row>
    <row r="204" spans="1:16" ht="14.4">
      <c r="A204" s="599">
        <v>45847</v>
      </c>
      <c r="B204" s="600">
        <v>1431.32</v>
      </c>
      <c r="C204" s="601">
        <f t="shared" si="6"/>
        <v>1.1204838003193237E-2</v>
      </c>
      <c r="D204" s="602">
        <v>12400</v>
      </c>
      <c r="E204" s="603">
        <f t="shared" si="7"/>
        <v>4.048582995951417E-3</v>
      </c>
      <c r="F204" s="165"/>
      <c r="G204" s="580"/>
      <c r="H204" s="299"/>
      <c r="I204" s="580"/>
      <c r="J204" s="580"/>
      <c r="K204" s="580"/>
      <c r="L204" s="580"/>
      <c r="M204" s="580"/>
      <c r="N204" s="580"/>
      <c r="O204" s="580"/>
      <c r="P204" s="580"/>
    </row>
    <row r="205" spans="1:16" ht="14.4">
      <c r="A205" s="599">
        <v>45846</v>
      </c>
      <c r="B205" s="600">
        <v>1415.46</v>
      </c>
      <c r="C205" s="601">
        <f t="shared" si="6"/>
        <v>9.5573655906309937E-3</v>
      </c>
      <c r="D205" s="602">
        <v>12350</v>
      </c>
      <c r="E205" s="603">
        <f t="shared" si="7"/>
        <v>-8.0321285140562242E-3</v>
      </c>
      <c r="F205" s="165"/>
      <c r="G205" s="580"/>
      <c r="H205" s="299"/>
      <c r="I205" s="580"/>
      <c r="J205" s="580"/>
      <c r="K205" s="580"/>
      <c r="L205" s="580"/>
      <c r="M205" s="580"/>
      <c r="N205" s="580"/>
      <c r="O205" s="580"/>
      <c r="P205" s="580"/>
    </row>
    <row r="206" spans="1:16" ht="14.4">
      <c r="A206" s="599">
        <v>45845</v>
      </c>
      <c r="B206" s="600">
        <v>1402.06</v>
      </c>
      <c r="C206" s="601">
        <f t="shared" si="6"/>
        <v>1.0879831575304382E-2</v>
      </c>
      <c r="D206" s="602">
        <v>12450</v>
      </c>
      <c r="E206" s="603">
        <f t="shared" si="7"/>
        <v>1.6326530612244899E-2</v>
      </c>
      <c r="F206" s="165"/>
      <c r="G206" s="580"/>
      <c r="H206" s="299"/>
      <c r="I206" s="580"/>
      <c r="J206" s="580"/>
      <c r="K206" s="580"/>
      <c r="L206" s="580"/>
      <c r="M206" s="580"/>
      <c r="N206" s="580"/>
      <c r="O206" s="580"/>
      <c r="P206" s="580"/>
    </row>
    <row r="207" spans="1:16" ht="14.4">
      <c r="A207" s="599">
        <v>45842</v>
      </c>
      <c r="B207" s="600">
        <v>1386.97</v>
      </c>
      <c r="C207" s="601">
        <f t="shared" si="6"/>
        <v>3.6252858259283849E-3</v>
      </c>
      <c r="D207" s="602">
        <v>12250</v>
      </c>
      <c r="E207" s="603">
        <f t="shared" si="7"/>
        <v>4.0983606557377051E-3</v>
      </c>
      <c r="F207" s="165"/>
      <c r="G207" s="580"/>
      <c r="H207" s="299"/>
      <c r="I207" s="580"/>
      <c r="J207" s="580"/>
      <c r="K207" s="580"/>
      <c r="L207" s="580"/>
      <c r="M207" s="580"/>
      <c r="N207" s="580"/>
      <c r="O207" s="580"/>
      <c r="P207" s="580"/>
    </row>
    <row r="208" spans="1:16" ht="14.4">
      <c r="A208" s="599">
        <v>45841</v>
      </c>
      <c r="B208" s="600">
        <v>1381.96</v>
      </c>
      <c r="C208" s="601">
        <f t="shared" si="6"/>
        <v>-1.8994792682309435E-3</v>
      </c>
      <c r="D208" s="602">
        <v>12200</v>
      </c>
      <c r="E208" s="603">
        <f t="shared" si="7"/>
        <v>-8.130081300813009E-3</v>
      </c>
      <c r="F208" s="165"/>
      <c r="G208" s="580"/>
      <c r="H208" s="299"/>
      <c r="I208" s="580"/>
      <c r="J208" s="580"/>
      <c r="K208" s="580"/>
      <c r="L208" s="580"/>
      <c r="M208" s="580"/>
      <c r="N208" s="580"/>
      <c r="O208" s="580"/>
      <c r="P208" s="580"/>
    </row>
    <row r="209" spans="1:16" ht="14.4">
      <c r="A209" s="599">
        <v>45840</v>
      </c>
      <c r="B209" s="600">
        <v>1384.59</v>
      </c>
      <c r="C209" s="601">
        <f t="shared" si="6"/>
        <v>4.8989723044765721E-3</v>
      </c>
      <c r="D209" s="602">
        <v>12300</v>
      </c>
      <c r="E209" s="603">
        <f t="shared" si="7"/>
        <v>8.1967213114754103E-3</v>
      </c>
      <c r="F209" s="165"/>
      <c r="G209" s="580"/>
      <c r="H209" s="299"/>
      <c r="I209" s="580"/>
      <c r="J209" s="580"/>
      <c r="K209" s="580"/>
      <c r="L209" s="580"/>
      <c r="M209" s="580"/>
      <c r="N209" s="580"/>
      <c r="O209" s="580"/>
      <c r="P209" s="580"/>
    </row>
    <row r="210" spans="1:16" ht="14.4">
      <c r="A210" s="599">
        <v>45839</v>
      </c>
      <c r="B210" s="600">
        <v>1377.84</v>
      </c>
      <c r="C210" s="601">
        <f t="shared" si="6"/>
        <v>1.286271773964974E-3</v>
      </c>
      <c r="D210" s="602">
        <v>12200</v>
      </c>
      <c r="E210" s="603">
        <f t="shared" si="7"/>
        <v>-2.0080321285140562E-2</v>
      </c>
      <c r="F210" s="165"/>
      <c r="G210" s="580"/>
      <c r="H210" s="299"/>
      <c r="I210" s="580"/>
      <c r="J210" s="580"/>
      <c r="K210" s="580"/>
      <c r="L210" s="580"/>
      <c r="M210" s="580"/>
      <c r="N210" s="580"/>
      <c r="O210" s="580"/>
      <c r="P210" s="580"/>
    </row>
    <row r="211" spans="1:16" ht="14.4">
      <c r="A211" s="599">
        <v>45838</v>
      </c>
      <c r="B211" s="600">
        <v>1376.07</v>
      </c>
      <c r="C211" s="601">
        <f t="shared" si="6"/>
        <v>3.3760135332204701E-3</v>
      </c>
      <c r="D211" s="602">
        <v>12450</v>
      </c>
      <c r="E211" s="603">
        <f t="shared" si="7"/>
        <v>8.0971659919028341E-3</v>
      </c>
      <c r="F211" s="165"/>
      <c r="G211" s="580"/>
      <c r="H211" s="299"/>
      <c r="I211" s="580"/>
      <c r="J211" s="580"/>
      <c r="K211" s="580"/>
      <c r="L211" s="580"/>
      <c r="M211" s="580"/>
      <c r="N211" s="580"/>
      <c r="O211" s="580"/>
      <c r="P211" s="580"/>
    </row>
    <row r="212" spans="1:16" ht="14.4">
      <c r="A212" s="599">
        <v>45835</v>
      </c>
      <c r="B212" s="600">
        <v>1371.44</v>
      </c>
      <c r="C212" s="601">
        <f t="shared" si="6"/>
        <v>4.2250324016782836E-3</v>
      </c>
      <c r="D212" s="602">
        <v>12350</v>
      </c>
      <c r="E212" s="603">
        <f t="shared" si="7"/>
        <v>4.0650406504065045E-3</v>
      </c>
      <c r="F212" s="165"/>
      <c r="G212" s="580"/>
      <c r="H212" s="299"/>
      <c r="I212" s="580"/>
      <c r="J212" s="580"/>
      <c r="K212" s="580"/>
      <c r="L212" s="580"/>
      <c r="M212" s="580"/>
      <c r="N212" s="580"/>
      <c r="O212" s="580"/>
      <c r="P212" s="580"/>
    </row>
    <row r="213" spans="1:16" ht="14.4">
      <c r="A213" s="599">
        <v>45834</v>
      </c>
      <c r="B213" s="600">
        <v>1365.67</v>
      </c>
      <c r="C213" s="601">
        <f t="shared" si="6"/>
        <v>-7.9019571977313133E-4</v>
      </c>
      <c r="D213" s="602">
        <v>12300</v>
      </c>
      <c r="E213" s="603">
        <f t="shared" si="7"/>
        <v>-1.6E-2</v>
      </c>
      <c r="F213" s="165"/>
      <c r="G213" s="580"/>
      <c r="H213" s="299"/>
      <c r="I213" s="580"/>
      <c r="J213" s="580"/>
      <c r="K213" s="580"/>
      <c r="L213" s="580"/>
      <c r="M213" s="580"/>
      <c r="N213" s="580"/>
      <c r="O213" s="580"/>
      <c r="P213" s="580"/>
    </row>
    <row r="214" spans="1:16" ht="14.4">
      <c r="A214" s="599">
        <v>45833</v>
      </c>
      <c r="B214" s="600">
        <v>1366.75</v>
      </c>
      <c r="C214" s="601">
        <f t="shared" si="6"/>
        <v>-1.4633039940869211E-5</v>
      </c>
      <c r="D214" s="602">
        <v>12500</v>
      </c>
      <c r="E214" s="603">
        <f t="shared" si="7"/>
        <v>1.6260162601626018E-2</v>
      </c>
      <c r="F214" s="165"/>
      <c r="G214" s="580"/>
      <c r="H214" s="299"/>
      <c r="I214" s="580"/>
      <c r="J214" s="580"/>
      <c r="K214" s="580"/>
      <c r="L214" s="580"/>
      <c r="M214" s="580"/>
      <c r="N214" s="580"/>
      <c r="O214" s="580"/>
      <c r="P214" s="580"/>
    </row>
    <row r="215" spans="1:16" ht="14.4">
      <c r="A215" s="599">
        <v>45832</v>
      </c>
      <c r="B215" s="600">
        <v>1366.77</v>
      </c>
      <c r="C215" s="601">
        <f t="shared" si="6"/>
        <v>6.3246403274970315E-3</v>
      </c>
      <c r="D215" s="602">
        <v>12300</v>
      </c>
      <c r="E215" s="603">
        <f t="shared" si="7"/>
        <v>8.1967213114754103E-3</v>
      </c>
      <c r="F215" s="165"/>
      <c r="G215" s="580"/>
      <c r="H215" s="299"/>
      <c r="I215" s="580"/>
      <c r="J215" s="580"/>
      <c r="K215" s="580"/>
      <c r="L215" s="580"/>
      <c r="M215" s="580"/>
      <c r="N215" s="580"/>
      <c r="O215" s="580"/>
      <c r="P215" s="580"/>
    </row>
    <row r="216" spans="1:16" ht="14.4">
      <c r="A216" s="599">
        <v>45831</v>
      </c>
      <c r="B216" s="600">
        <v>1358.18</v>
      </c>
      <c r="C216" s="601">
        <f t="shared" si="6"/>
        <v>6.5438915033165269E-3</v>
      </c>
      <c r="D216" s="602">
        <v>12200</v>
      </c>
      <c r="E216" s="603">
        <f t="shared" si="7"/>
        <v>-2.7888446215139442E-2</v>
      </c>
      <c r="F216" s="165"/>
      <c r="G216" s="580"/>
      <c r="H216" s="299"/>
      <c r="I216" s="580"/>
      <c r="J216" s="580"/>
      <c r="K216" s="580"/>
      <c r="L216" s="580"/>
      <c r="M216" s="580"/>
      <c r="N216" s="580"/>
      <c r="O216" s="580"/>
      <c r="P216" s="580"/>
    </row>
    <row r="217" spans="1:16" ht="14.4">
      <c r="A217" s="599">
        <v>45828</v>
      </c>
      <c r="B217" s="600">
        <v>1349.35</v>
      </c>
      <c r="C217" s="601">
        <f t="shared" si="6"/>
        <v>-1.989586106919954E-3</v>
      </c>
      <c r="D217" s="602">
        <v>12550</v>
      </c>
      <c r="E217" s="603">
        <f t="shared" si="7"/>
        <v>8.0321285140562242E-3</v>
      </c>
      <c r="F217" s="165"/>
      <c r="G217" s="580"/>
      <c r="H217" s="299"/>
      <c r="I217" s="580"/>
      <c r="J217" s="580"/>
      <c r="K217" s="580"/>
      <c r="L217" s="580"/>
      <c r="M217" s="580"/>
      <c r="N217" s="580"/>
      <c r="O217" s="580"/>
      <c r="P217" s="580"/>
    </row>
    <row r="218" spans="1:16" ht="14.4">
      <c r="A218" s="599">
        <v>45827</v>
      </c>
      <c r="B218" s="600">
        <v>1352.04</v>
      </c>
      <c r="C218" s="601">
        <f t="shared" si="6"/>
        <v>3.8683427010090632E-3</v>
      </c>
      <c r="D218" s="602">
        <v>12450</v>
      </c>
      <c r="E218" s="603">
        <f t="shared" si="7"/>
        <v>-1.5810276679841896E-2</v>
      </c>
      <c r="F218" s="165"/>
      <c r="G218" s="580"/>
      <c r="H218" s="299"/>
      <c r="I218" s="580"/>
      <c r="J218" s="580"/>
      <c r="K218" s="580"/>
      <c r="L218" s="580"/>
      <c r="M218" s="580"/>
      <c r="N218" s="580"/>
      <c r="O218" s="580"/>
      <c r="P218" s="580"/>
    </row>
    <row r="219" spans="1:16" ht="14.4">
      <c r="A219" s="599">
        <v>45826</v>
      </c>
      <c r="B219" s="600">
        <v>1346.83</v>
      </c>
      <c r="C219" s="601">
        <f t="shared" si="6"/>
        <v>-6.3812894656792535E-4</v>
      </c>
      <c r="D219" s="602">
        <v>12650</v>
      </c>
      <c r="E219" s="603">
        <f t="shared" si="7"/>
        <v>-3.937007874015748E-3</v>
      </c>
      <c r="F219" s="165"/>
      <c r="G219" s="580"/>
      <c r="H219" s="299"/>
      <c r="I219" s="580"/>
      <c r="J219" s="580"/>
      <c r="K219" s="580"/>
      <c r="L219" s="580"/>
      <c r="M219" s="580"/>
      <c r="N219" s="580"/>
      <c r="O219" s="580"/>
      <c r="P219" s="580"/>
    </row>
    <row r="220" spans="1:16" ht="14.4">
      <c r="A220" s="599">
        <v>45825</v>
      </c>
      <c r="B220" s="600">
        <v>1347.69</v>
      </c>
      <c r="C220" s="601">
        <f t="shared" si="6"/>
        <v>7.1593516228113949E-3</v>
      </c>
      <c r="D220" s="602">
        <v>12700</v>
      </c>
      <c r="E220" s="603">
        <f t="shared" si="7"/>
        <v>-3.787878787878788E-2</v>
      </c>
      <c r="F220" s="165"/>
      <c r="G220" s="580"/>
      <c r="H220" s="299"/>
      <c r="I220" s="580"/>
      <c r="J220" s="580"/>
      <c r="K220" s="580"/>
      <c r="L220" s="580"/>
      <c r="M220" s="580"/>
      <c r="N220" s="580"/>
      <c r="O220" s="580"/>
      <c r="P220" s="580"/>
    </row>
    <row r="221" spans="1:16" ht="14.4">
      <c r="A221" s="599">
        <v>45824</v>
      </c>
      <c r="B221" s="600">
        <v>1338.11</v>
      </c>
      <c r="C221" s="601">
        <f t="shared" si="6"/>
        <v>1.7195113607857065E-2</v>
      </c>
      <c r="D221" s="602">
        <v>13200</v>
      </c>
      <c r="E221" s="603">
        <f t="shared" si="7"/>
        <v>-1.1235955056179775E-2</v>
      </c>
      <c r="F221" s="165"/>
      <c r="G221" s="580"/>
      <c r="H221" s="299"/>
      <c r="I221" s="580"/>
      <c r="J221" s="580"/>
      <c r="K221" s="580"/>
      <c r="L221" s="580"/>
      <c r="M221" s="580"/>
      <c r="N221" s="580"/>
      <c r="O221" s="580"/>
      <c r="P221" s="580"/>
    </row>
    <row r="222" spans="1:16" ht="14.4">
      <c r="A222" s="599">
        <v>45821</v>
      </c>
      <c r="B222" s="600">
        <v>1315.49</v>
      </c>
      <c r="C222" s="601">
        <f t="shared" si="6"/>
        <v>-5.6689770897739213E-3</v>
      </c>
      <c r="D222" s="602">
        <v>13350</v>
      </c>
      <c r="E222" s="603">
        <f t="shared" si="7"/>
        <v>4.296875E-2</v>
      </c>
      <c r="F222" s="165"/>
      <c r="G222" s="580"/>
      <c r="H222" s="299"/>
      <c r="I222" s="580"/>
      <c r="J222" s="580"/>
      <c r="K222" s="580"/>
      <c r="L222" s="580"/>
      <c r="M222" s="580"/>
      <c r="N222" s="580"/>
      <c r="O222" s="580"/>
      <c r="P222" s="580"/>
    </row>
    <row r="223" spans="1:16" ht="14.4">
      <c r="A223" s="599">
        <v>45820</v>
      </c>
      <c r="B223" s="600">
        <v>1322.99</v>
      </c>
      <c r="C223" s="601">
        <f t="shared" si="6"/>
        <v>5.9230535279805076E-3</v>
      </c>
      <c r="D223" s="602">
        <v>12800</v>
      </c>
      <c r="E223" s="603">
        <f t="shared" si="7"/>
        <v>6.6666666666666666E-2</v>
      </c>
      <c r="F223" s="165"/>
      <c r="G223" s="580"/>
      <c r="H223" s="299"/>
      <c r="I223" s="580"/>
      <c r="J223" s="580"/>
      <c r="K223" s="580"/>
      <c r="L223" s="580"/>
      <c r="M223" s="580"/>
      <c r="N223" s="580"/>
      <c r="O223" s="580"/>
      <c r="P223" s="580"/>
    </row>
    <row r="224" spans="1:16" ht="14.4">
      <c r="A224" s="599">
        <v>45819</v>
      </c>
      <c r="B224" s="600">
        <v>1315.2</v>
      </c>
      <c r="C224" s="601">
        <f t="shared" si="6"/>
        <v>-7.8253800627547823E-4</v>
      </c>
      <c r="D224" s="602">
        <v>12000</v>
      </c>
      <c r="E224" s="603">
        <f t="shared" si="7"/>
        <v>8.4033613445378148E-3</v>
      </c>
      <c r="F224" s="165"/>
      <c r="G224" s="580"/>
      <c r="H224" s="299"/>
      <c r="I224" s="580"/>
      <c r="J224" s="580"/>
      <c r="K224" s="580"/>
      <c r="L224" s="580"/>
      <c r="M224" s="580"/>
      <c r="N224" s="580"/>
      <c r="O224" s="580"/>
      <c r="P224" s="580"/>
    </row>
    <row r="225" spans="1:16" ht="14.4">
      <c r="A225" s="599">
        <v>45818</v>
      </c>
      <c r="B225" s="600">
        <v>1316.23</v>
      </c>
      <c r="C225" s="601">
        <f t="shared" si="6"/>
        <v>4.3187315442899518E-3</v>
      </c>
      <c r="D225" s="602">
        <v>11900</v>
      </c>
      <c r="E225" s="603">
        <f t="shared" si="7"/>
        <v>1.7094017094017096E-2</v>
      </c>
      <c r="F225" s="165"/>
      <c r="G225" s="580"/>
      <c r="H225" s="299"/>
      <c r="I225" s="580"/>
      <c r="J225" s="580"/>
      <c r="K225" s="580"/>
      <c r="L225" s="580"/>
      <c r="M225" s="580"/>
      <c r="N225" s="580"/>
      <c r="O225" s="580"/>
      <c r="P225" s="580"/>
    </row>
    <row r="226" spans="1:16" ht="14.4">
      <c r="A226" s="599">
        <v>45817</v>
      </c>
      <c r="B226" s="600">
        <v>1310.57</v>
      </c>
      <c r="C226" s="601">
        <f t="shared" si="6"/>
        <v>-1.4527517313462138E-2</v>
      </c>
      <c r="D226" s="602">
        <v>11700</v>
      </c>
      <c r="E226" s="603">
        <f t="shared" si="7"/>
        <v>-2.9045643153526972E-2</v>
      </c>
      <c r="F226" s="165"/>
      <c r="G226" s="580"/>
      <c r="H226" s="299"/>
      <c r="I226" s="580"/>
      <c r="J226" s="580"/>
      <c r="K226" s="580"/>
      <c r="L226" s="580"/>
      <c r="M226" s="580"/>
      <c r="N226" s="580"/>
      <c r="O226" s="580"/>
      <c r="P226" s="580"/>
    </row>
    <row r="227" spans="1:16" ht="14.4">
      <c r="A227" s="599">
        <v>45814</v>
      </c>
      <c r="B227" s="600">
        <v>1329.89</v>
      </c>
      <c r="C227" s="601">
        <f t="shared" si="6"/>
        <v>-9.0902994583074298E-3</v>
      </c>
      <c r="D227" s="602">
        <v>12050</v>
      </c>
      <c r="E227" s="603">
        <f t="shared" si="7"/>
        <v>-2.8225806451612902E-2</v>
      </c>
      <c r="F227" s="165"/>
      <c r="G227" s="580"/>
      <c r="H227" s="299"/>
      <c r="I227" s="580"/>
      <c r="J227" s="580"/>
      <c r="K227" s="580"/>
      <c r="L227" s="580"/>
      <c r="M227" s="580"/>
      <c r="N227" s="580"/>
      <c r="O227" s="580"/>
      <c r="P227" s="580"/>
    </row>
    <row r="228" spans="1:16" ht="14.4">
      <c r="A228" s="599">
        <v>45813</v>
      </c>
      <c r="B228" s="600">
        <v>1342.09</v>
      </c>
      <c r="C228" s="601">
        <f t="shared" si="6"/>
        <v>-2.7122623983831134E-3</v>
      </c>
      <c r="D228" s="602">
        <v>12400</v>
      </c>
      <c r="E228" s="603">
        <f t="shared" si="7"/>
        <v>-4.0160642570281121E-3</v>
      </c>
      <c r="F228" s="165"/>
      <c r="G228" s="580"/>
      <c r="H228" s="299"/>
      <c r="I228" s="580"/>
      <c r="J228" s="580"/>
      <c r="K228" s="580"/>
      <c r="L228" s="580"/>
      <c r="M228" s="580"/>
      <c r="N228" s="580"/>
      <c r="O228" s="580"/>
      <c r="P228" s="580"/>
    </row>
    <row r="229" spans="1:16" ht="14.4">
      <c r="A229" s="599">
        <v>45812</v>
      </c>
      <c r="B229" s="600">
        <v>1345.74</v>
      </c>
      <c r="C229" s="601">
        <f t="shared" si="6"/>
        <v>-1.1208016329560147E-3</v>
      </c>
      <c r="D229" s="602">
        <v>12450</v>
      </c>
      <c r="E229" s="603">
        <f t="shared" si="7"/>
        <v>3.3195020746887967E-2</v>
      </c>
      <c r="F229" s="165"/>
      <c r="G229" s="580"/>
      <c r="H229" s="299"/>
      <c r="I229" s="580"/>
      <c r="J229" s="580"/>
      <c r="K229" s="580"/>
      <c r="L229" s="580"/>
      <c r="M229" s="580"/>
      <c r="N229" s="580"/>
      <c r="O229" s="580"/>
      <c r="P229" s="580"/>
    </row>
    <row r="230" spans="1:16" ht="14.4">
      <c r="A230" s="599">
        <v>45811</v>
      </c>
      <c r="B230" s="600">
        <v>1347.25</v>
      </c>
      <c r="C230" s="601">
        <f t="shared" si="6"/>
        <v>8.194267754246835E-3</v>
      </c>
      <c r="D230" s="602">
        <v>12050</v>
      </c>
      <c r="E230" s="603">
        <f t="shared" si="7"/>
        <v>4.1666666666666666E-3</v>
      </c>
      <c r="F230" s="165"/>
      <c r="G230" s="580"/>
      <c r="H230" s="299"/>
      <c r="I230" s="580"/>
      <c r="J230" s="580"/>
      <c r="K230" s="580"/>
      <c r="L230" s="580"/>
      <c r="M230" s="580"/>
      <c r="N230" s="580"/>
      <c r="O230" s="580"/>
      <c r="P230" s="580"/>
    </row>
    <row r="231" spans="1:16" ht="14.4">
      <c r="A231" s="599">
        <v>45810</v>
      </c>
      <c r="B231" s="600">
        <v>1336.3</v>
      </c>
      <c r="C231" s="601">
        <f t="shared" si="6"/>
        <v>2.7765270898994789E-3</v>
      </c>
      <c r="D231" s="602">
        <v>12000</v>
      </c>
      <c r="E231" s="603">
        <f t="shared" si="7"/>
        <v>4.1841004184100415E-3</v>
      </c>
      <c r="F231" s="165"/>
      <c r="G231" s="580"/>
      <c r="H231" s="299"/>
      <c r="I231" s="580"/>
      <c r="J231" s="580"/>
      <c r="K231" s="580"/>
      <c r="L231" s="580"/>
      <c r="M231" s="580"/>
      <c r="N231" s="580"/>
      <c r="O231" s="580"/>
      <c r="P231" s="580"/>
    </row>
    <row r="232" spans="1:16" ht="14.4">
      <c r="A232" s="599">
        <v>45807</v>
      </c>
      <c r="B232" s="600">
        <v>1332.6</v>
      </c>
      <c r="C232" s="601">
        <f t="shared" si="6"/>
        <v>-6.9008689431088125E-3</v>
      </c>
      <c r="D232" s="602">
        <v>11950</v>
      </c>
      <c r="E232" s="603">
        <f t="shared" si="7"/>
        <v>-2.0491803278688523E-2</v>
      </c>
      <c r="F232" s="165"/>
      <c r="G232" s="580"/>
      <c r="H232" s="299"/>
      <c r="I232" s="580"/>
      <c r="J232" s="580"/>
      <c r="K232" s="580"/>
      <c r="L232" s="580"/>
      <c r="M232" s="580"/>
      <c r="N232" s="580"/>
      <c r="O232" s="580"/>
      <c r="P232" s="580"/>
    </row>
    <row r="233" spans="1:16" ht="14.4">
      <c r="A233" s="599">
        <v>45806</v>
      </c>
      <c r="B233" s="600">
        <v>1341.86</v>
      </c>
      <c r="C233" s="601">
        <f t="shared" si="6"/>
        <v>-7.4522867341776069E-6</v>
      </c>
      <c r="D233" s="602">
        <v>12200</v>
      </c>
      <c r="E233" s="603">
        <f t="shared" si="7"/>
        <v>-8.130081300813009E-3</v>
      </c>
      <c r="F233" s="165"/>
      <c r="G233" s="580"/>
      <c r="H233" s="299"/>
      <c r="I233" s="580"/>
      <c r="J233" s="580"/>
      <c r="K233" s="580"/>
      <c r="L233" s="580"/>
      <c r="M233" s="580"/>
      <c r="N233" s="580"/>
      <c r="O233" s="580"/>
      <c r="P233" s="580"/>
    </row>
    <row r="234" spans="1:16" ht="14.4">
      <c r="A234" s="599">
        <v>45805</v>
      </c>
      <c r="B234" s="600">
        <v>1341.87</v>
      </c>
      <c r="C234" s="601">
        <f t="shared" si="6"/>
        <v>1.5375314410251792E-3</v>
      </c>
      <c r="D234" s="602">
        <v>12300</v>
      </c>
      <c r="E234" s="603">
        <f t="shared" si="7"/>
        <v>2.9288702928870293E-2</v>
      </c>
      <c r="F234" s="165"/>
      <c r="G234" s="580"/>
      <c r="H234" s="299"/>
      <c r="I234" s="580"/>
      <c r="J234" s="580"/>
      <c r="K234" s="580"/>
      <c r="L234" s="580"/>
      <c r="M234" s="580"/>
      <c r="N234" s="580"/>
      <c r="O234" s="580"/>
      <c r="P234" s="580"/>
    </row>
    <row r="235" spans="1:16" ht="14.4">
      <c r="A235" s="599">
        <v>45804</v>
      </c>
      <c r="B235" s="600">
        <v>1339.81</v>
      </c>
      <c r="C235" s="601">
        <f t="shared" si="6"/>
        <v>5.4783829014416058E-3</v>
      </c>
      <c r="D235" s="602">
        <v>11950</v>
      </c>
      <c r="E235" s="603">
        <f t="shared" si="7"/>
        <v>-1.2396694214876033E-2</v>
      </c>
      <c r="F235" s="165"/>
      <c r="G235" s="580"/>
      <c r="H235" s="299"/>
      <c r="I235" s="580"/>
      <c r="J235" s="580"/>
      <c r="K235" s="580"/>
      <c r="L235" s="580"/>
      <c r="M235" s="580"/>
      <c r="N235" s="580"/>
      <c r="O235" s="580"/>
      <c r="P235" s="580"/>
    </row>
    <row r="236" spans="1:16" ht="14.4">
      <c r="A236" s="599">
        <v>45803</v>
      </c>
      <c r="B236" s="600">
        <v>1332.51</v>
      </c>
      <c r="C236" s="601">
        <f t="shared" si="6"/>
        <v>1.3731874686182885E-2</v>
      </c>
      <c r="D236" s="602">
        <v>12100</v>
      </c>
      <c r="E236" s="603">
        <f t="shared" si="7"/>
        <v>3.8626609442060089E-2</v>
      </c>
      <c r="F236" s="165"/>
      <c r="G236" s="580"/>
      <c r="H236" s="299"/>
      <c r="I236" s="580"/>
      <c r="J236" s="580"/>
      <c r="K236" s="580"/>
      <c r="L236" s="580"/>
      <c r="M236" s="580"/>
      <c r="N236" s="580"/>
      <c r="O236" s="580"/>
      <c r="P236" s="580"/>
    </row>
    <row r="237" spans="1:16" ht="14.4">
      <c r="A237" s="599">
        <v>45800</v>
      </c>
      <c r="B237" s="600">
        <v>1314.46</v>
      </c>
      <c r="C237" s="601">
        <f t="shared" si="6"/>
        <v>4.7189916580414533E-4</v>
      </c>
      <c r="D237" s="602">
        <v>11650</v>
      </c>
      <c r="E237" s="603">
        <f t="shared" si="7"/>
        <v>-1.2711864406779662E-2</v>
      </c>
      <c r="F237" s="165"/>
      <c r="G237" s="580"/>
      <c r="H237" s="299"/>
      <c r="I237" s="580"/>
      <c r="J237" s="580"/>
      <c r="K237" s="580"/>
      <c r="L237" s="580"/>
      <c r="M237" s="580"/>
      <c r="N237" s="580"/>
      <c r="O237" s="580"/>
      <c r="P237" s="580"/>
    </row>
    <row r="238" spans="1:16" ht="14.4">
      <c r="A238" s="599">
        <v>45799</v>
      </c>
      <c r="B238" s="600">
        <v>1313.84</v>
      </c>
      <c r="C238" s="601">
        <f t="shared" si="6"/>
        <v>-6.9611881637126616E-3</v>
      </c>
      <c r="D238" s="602">
        <v>11800</v>
      </c>
      <c r="E238" s="603">
        <f t="shared" si="7"/>
        <v>-2.8806584362139918E-2</v>
      </c>
      <c r="F238" s="165"/>
      <c r="G238" s="580"/>
      <c r="H238" s="299"/>
      <c r="I238" s="580"/>
      <c r="J238" s="580"/>
      <c r="K238" s="580"/>
      <c r="L238" s="580"/>
      <c r="M238" s="580"/>
      <c r="N238" s="580"/>
      <c r="O238" s="580"/>
      <c r="P238" s="580"/>
    </row>
    <row r="239" spans="1:16" ht="14.4">
      <c r="A239" s="599">
        <v>45798</v>
      </c>
      <c r="B239" s="600">
        <v>1323.05</v>
      </c>
      <c r="C239" s="601">
        <f t="shared" si="6"/>
        <v>6.0069193628102214E-3</v>
      </c>
      <c r="D239" s="602">
        <v>12150</v>
      </c>
      <c r="E239" s="603">
        <f t="shared" si="7"/>
        <v>-1.2195121951219513E-2</v>
      </c>
      <c r="F239" s="165"/>
      <c r="G239" s="580"/>
      <c r="H239" s="299"/>
      <c r="I239" s="580"/>
      <c r="J239" s="580"/>
      <c r="K239" s="580"/>
      <c r="L239" s="580"/>
      <c r="M239" s="580"/>
      <c r="N239" s="580"/>
      <c r="O239" s="580"/>
      <c r="P239" s="580"/>
    </row>
    <row r="240" spans="1:16" ht="14.4">
      <c r="A240" s="599">
        <v>45797</v>
      </c>
      <c r="B240" s="600">
        <v>1315.15</v>
      </c>
      <c r="C240" s="601">
        <f t="shared" si="6"/>
        <v>1.4549213524751504E-2</v>
      </c>
      <c r="D240" s="602">
        <v>12300</v>
      </c>
      <c r="E240" s="603">
        <f t="shared" si="7"/>
        <v>-8.0645161290322578E-3</v>
      </c>
      <c r="F240" s="165"/>
      <c r="G240" s="580"/>
      <c r="H240" s="299"/>
      <c r="I240" s="580"/>
      <c r="J240" s="580"/>
      <c r="K240" s="580"/>
      <c r="L240" s="580"/>
      <c r="M240" s="580"/>
      <c r="N240" s="580"/>
      <c r="O240" s="580"/>
      <c r="P240" s="580"/>
    </row>
    <row r="241" spans="1:16" ht="14.4">
      <c r="A241" s="599">
        <v>45796</v>
      </c>
      <c r="B241" s="600">
        <v>1296.29</v>
      </c>
      <c r="C241" s="601">
        <f t="shared" si="6"/>
        <v>-3.9188867288054586E-3</v>
      </c>
      <c r="D241" s="602">
        <v>12400</v>
      </c>
      <c r="E241" s="603">
        <f t="shared" si="7"/>
        <v>2.0576131687242798E-2</v>
      </c>
      <c r="F241" s="165"/>
      <c r="G241" s="580"/>
      <c r="H241" s="299"/>
      <c r="I241" s="580"/>
      <c r="J241" s="580"/>
      <c r="K241" s="580"/>
      <c r="L241" s="580"/>
      <c r="M241" s="580"/>
      <c r="N241" s="580"/>
      <c r="O241" s="580"/>
      <c r="P241" s="580"/>
    </row>
    <row r="242" spans="1:16" ht="14.4">
      <c r="A242" s="599">
        <v>45793</v>
      </c>
      <c r="B242" s="600">
        <v>1301.3900000000001</v>
      </c>
      <c r="C242" s="601">
        <f t="shared" si="6"/>
        <v>-8.9932988120620967E-3</v>
      </c>
      <c r="D242" s="602">
        <v>12150</v>
      </c>
      <c r="E242" s="603">
        <f t="shared" si="7"/>
        <v>2.100840336134454E-2</v>
      </c>
      <c r="F242" s="165"/>
      <c r="G242" s="580"/>
      <c r="H242" s="299"/>
      <c r="I242" s="580"/>
      <c r="J242" s="580"/>
      <c r="K242" s="580"/>
      <c r="L242" s="580"/>
      <c r="M242" s="580"/>
      <c r="N242" s="580"/>
      <c r="O242" s="580"/>
      <c r="P242" s="580"/>
    </row>
    <row r="243" spans="1:16" ht="14.4">
      <c r="A243" s="599">
        <v>45792</v>
      </c>
      <c r="B243" s="600">
        <v>1313.2</v>
      </c>
      <c r="C243" s="601">
        <f t="shared" si="6"/>
        <v>2.6494010215846221E-3</v>
      </c>
      <c r="D243" s="602">
        <v>11900</v>
      </c>
      <c r="E243" s="603">
        <f t="shared" si="7"/>
        <v>-1.6528925619834711E-2</v>
      </c>
      <c r="F243" s="165"/>
      <c r="G243" s="580"/>
      <c r="H243" s="299"/>
      <c r="I243" s="580"/>
      <c r="J243" s="580"/>
      <c r="K243" s="580"/>
      <c r="L243" s="580"/>
      <c r="M243" s="580"/>
      <c r="N243" s="580"/>
      <c r="O243" s="580"/>
      <c r="P243" s="580"/>
    </row>
    <row r="244" spans="1:16" ht="14.4">
      <c r="A244" s="599">
        <v>45791</v>
      </c>
      <c r="B244" s="600">
        <v>1309.73</v>
      </c>
      <c r="C244" s="601">
        <f t="shared" si="6"/>
        <v>1.2602150870166884E-2</v>
      </c>
      <c r="D244" s="602">
        <v>12100</v>
      </c>
      <c r="E244" s="603">
        <f t="shared" si="7"/>
        <v>-4.11522633744856E-3</v>
      </c>
      <c r="F244" s="165"/>
      <c r="G244" s="580"/>
      <c r="H244" s="299"/>
      <c r="I244" s="580"/>
      <c r="J244" s="580"/>
      <c r="K244" s="580"/>
      <c r="L244" s="580"/>
      <c r="M244" s="580"/>
      <c r="N244" s="580"/>
      <c r="O244" s="580"/>
      <c r="P244" s="580"/>
    </row>
    <row r="245" spans="1:16" ht="14.4">
      <c r="A245" s="599">
        <v>45790</v>
      </c>
      <c r="B245" s="600">
        <v>1293.43</v>
      </c>
      <c r="C245" s="601">
        <f t="shared" si="6"/>
        <v>7.925128189143333E-3</v>
      </c>
      <c r="D245" s="602">
        <v>12150</v>
      </c>
      <c r="E245" s="603">
        <f t="shared" si="7"/>
        <v>3.4042553191489362E-2</v>
      </c>
      <c r="F245" s="165"/>
      <c r="G245" s="580"/>
      <c r="H245" s="299"/>
      <c r="I245" s="580"/>
      <c r="J245" s="580"/>
      <c r="K245" s="580"/>
      <c r="L245" s="580"/>
      <c r="M245" s="580"/>
      <c r="N245" s="580"/>
      <c r="O245" s="580"/>
      <c r="P245" s="580"/>
    </row>
    <row r="246" spans="1:16" ht="14.4">
      <c r="A246" s="599">
        <v>45789</v>
      </c>
      <c r="B246" s="600">
        <v>1283.26</v>
      </c>
      <c r="C246" s="601">
        <f t="shared" si="6"/>
        <v>1.2593703148425816E-2</v>
      </c>
      <c r="D246" s="602">
        <v>11750</v>
      </c>
      <c r="E246" s="603">
        <f t="shared" si="7"/>
        <v>0</v>
      </c>
      <c r="F246" s="165"/>
      <c r="G246" s="580"/>
      <c r="H246" s="299"/>
      <c r="I246" s="580"/>
      <c r="J246" s="580"/>
      <c r="K246" s="580"/>
      <c r="L246" s="580"/>
      <c r="M246" s="580"/>
      <c r="N246" s="580"/>
      <c r="O246" s="580"/>
      <c r="P246" s="580"/>
    </row>
    <row r="247" spans="1:16" ht="14.4">
      <c r="A247" s="599">
        <v>45786</v>
      </c>
      <c r="B247" s="600">
        <v>1267.3</v>
      </c>
      <c r="C247" s="601">
        <f t="shared" si="6"/>
        <v>-1.9688139864545598E-3</v>
      </c>
      <c r="D247" s="602">
        <v>11750</v>
      </c>
      <c r="E247" s="603">
        <f t="shared" si="7"/>
        <v>-1.2605042016806723E-2</v>
      </c>
      <c r="F247" s="165"/>
      <c r="G247" s="580"/>
      <c r="H247" s="299"/>
      <c r="I247" s="580"/>
      <c r="J247" s="580"/>
      <c r="K247" s="580"/>
      <c r="L247" s="580"/>
      <c r="M247" s="580"/>
      <c r="N247" s="580"/>
      <c r="O247" s="580"/>
      <c r="P247" s="580"/>
    </row>
    <row r="248" spans="1:16" ht="14.4">
      <c r="A248" s="599">
        <v>45785</v>
      </c>
      <c r="B248" s="600">
        <v>1269.8</v>
      </c>
      <c r="C248" s="601">
        <f t="shared" si="6"/>
        <v>1.5539400337500153E-2</v>
      </c>
      <c r="D248" s="602">
        <v>11900</v>
      </c>
      <c r="E248" s="603">
        <f t="shared" si="7"/>
        <v>2.1459227467811159E-2</v>
      </c>
      <c r="F248" s="165"/>
      <c r="G248" s="580"/>
      <c r="H248" s="299"/>
      <c r="I248" s="580"/>
      <c r="J248" s="580"/>
      <c r="K248" s="580"/>
      <c r="L248" s="580"/>
      <c r="M248" s="580"/>
      <c r="N248" s="580"/>
      <c r="O248" s="580"/>
      <c r="P248" s="580"/>
    </row>
    <row r="249" spans="1:16" ht="14.4">
      <c r="A249" s="599">
        <v>45784</v>
      </c>
      <c r="B249" s="600">
        <v>1250.3699999999999</v>
      </c>
      <c r="C249" s="601">
        <f t="shared" si="6"/>
        <v>6.7796610169490274E-3</v>
      </c>
      <c r="D249" s="602">
        <v>11650</v>
      </c>
      <c r="E249" s="603">
        <f t="shared" si="7"/>
        <v>-8.5106382978723406E-3</v>
      </c>
      <c r="F249" s="165"/>
      <c r="G249" s="580"/>
      <c r="H249" s="299"/>
      <c r="I249" s="580"/>
      <c r="J249" s="580"/>
      <c r="K249" s="580"/>
      <c r="L249" s="580"/>
      <c r="M249" s="580"/>
      <c r="N249" s="580"/>
      <c r="O249" s="580"/>
      <c r="P249" s="580"/>
    </row>
    <row r="250" spans="1:16" ht="14.4">
      <c r="A250" s="599">
        <v>45783</v>
      </c>
      <c r="B250" s="600">
        <v>1241.95</v>
      </c>
      <c r="C250" s="601">
        <f t="shared" si="6"/>
        <v>1.5321962824080407E-3</v>
      </c>
      <c r="D250" s="602">
        <v>11750</v>
      </c>
      <c r="E250" s="603">
        <f t="shared" si="7"/>
        <v>-4.2372881355932203E-3</v>
      </c>
      <c r="F250" s="165"/>
      <c r="G250" s="580"/>
      <c r="H250" s="299"/>
      <c r="I250" s="580"/>
      <c r="J250" s="580"/>
      <c r="K250" s="580"/>
      <c r="L250" s="580"/>
      <c r="M250" s="580"/>
      <c r="N250" s="580"/>
      <c r="O250" s="580"/>
      <c r="P250" s="580"/>
    </row>
    <row r="251" spans="1:16" ht="15" thickBot="1">
      <c r="A251" s="619">
        <v>45782</v>
      </c>
      <c r="B251" s="620">
        <v>1240.05</v>
      </c>
      <c r="C251" s="621"/>
      <c r="D251" s="622">
        <v>11800</v>
      </c>
      <c r="E251" s="623"/>
      <c r="F251" s="165"/>
      <c r="G251" s="580"/>
      <c r="H251" s="299"/>
      <c r="I251" s="580"/>
      <c r="J251" s="580"/>
      <c r="K251" s="580"/>
      <c r="L251" s="580"/>
      <c r="M251" s="580"/>
      <c r="N251" s="580"/>
      <c r="O251" s="580"/>
      <c r="P251" s="580"/>
    </row>
    <row r="252" spans="1:16" ht="14.4">
      <c r="A252" s="624"/>
      <c r="B252" s="625"/>
      <c r="C252" s="624"/>
      <c r="D252" s="625"/>
      <c r="E252" s="626"/>
      <c r="F252" s="165"/>
      <c r="G252" s="580"/>
      <c r="H252" s="299"/>
      <c r="I252" s="580"/>
      <c r="J252" s="580"/>
      <c r="K252" s="580"/>
      <c r="L252" s="580"/>
      <c r="M252" s="580"/>
      <c r="N252" s="580"/>
      <c r="O252" s="580"/>
      <c r="P252" s="580"/>
    </row>
    <row r="253" spans="1:16" ht="14.4">
      <c r="A253" s="624"/>
      <c r="B253" s="625"/>
      <c r="C253" s="624"/>
      <c r="D253" s="625"/>
      <c r="E253" s="626"/>
      <c r="F253" s="165"/>
      <c r="G253" s="580"/>
      <c r="H253" s="299"/>
      <c r="I253" s="580"/>
      <c r="J253" s="580"/>
      <c r="K253" s="580"/>
      <c r="L253" s="580"/>
      <c r="M253" s="580"/>
      <c r="N253" s="580"/>
      <c r="O253" s="580"/>
      <c r="P253" s="580"/>
    </row>
    <row r="254" spans="1:16" ht="14.4">
      <c r="A254" s="624"/>
      <c r="B254" s="625"/>
      <c r="C254" s="624"/>
      <c r="D254" s="625"/>
      <c r="E254" s="626"/>
      <c r="F254" s="165"/>
      <c r="G254" s="580"/>
      <c r="H254" s="299"/>
      <c r="I254" s="580"/>
      <c r="J254" s="580"/>
      <c r="K254" s="580"/>
      <c r="L254" s="580"/>
      <c r="M254" s="580"/>
      <c r="N254" s="580"/>
      <c r="O254" s="580"/>
      <c r="P254" s="580"/>
    </row>
    <row r="255" spans="1:16" ht="14.4">
      <c r="A255" s="624"/>
      <c r="B255" s="625"/>
      <c r="C255" s="624"/>
      <c r="D255" s="625"/>
      <c r="E255" s="626"/>
      <c r="F255" s="165"/>
      <c r="G255" s="580"/>
      <c r="H255" s="299"/>
      <c r="I255" s="580"/>
      <c r="J255" s="580"/>
      <c r="K255" s="580"/>
      <c r="L255" s="580"/>
      <c r="M255" s="580"/>
      <c r="N255" s="580"/>
      <c r="O255" s="580"/>
      <c r="P255" s="580"/>
    </row>
    <row r="256" spans="1:16" ht="14.4">
      <c r="A256" s="624"/>
      <c r="B256" s="625"/>
      <c r="C256" s="624"/>
      <c r="D256" s="625"/>
      <c r="E256" s="626"/>
      <c r="F256" s="165"/>
      <c r="G256" s="580"/>
      <c r="H256" s="299"/>
      <c r="I256" s="580"/>
      <c r="J256" s="580"/>
      <c r="K256" s="580"/>
      <c r="L256" s="580"/>
      <c r="M256" s="580"/>
      <c r="N256" s="580"/>
      <c r="O256" s="580"/>
      <c r="P256" s="580"/>
    </row>
    <row r="257" spans="1:16" ht="14.4">
      <c r="A257" s="624"/>
      <c r="B257" s="625"/>
      <c r="C257" s="624"/>
      <c r="D257" s="625"/>
      <c r="E257" s="626"/>
      <c r="F257" s="165"/>
      <c r="G257" s="580"/>
      <c r="H257" s="299"/>
      <c r="I257" s="580"/>
      <c r="J257" s="580"/>
      <c r="K257" s="580"/>
      <c r="L257" s="580"/>
      <c r="M257" s="580"/>
      <c r="N257" s="580"/>
      <c r="O257" s="580"/>
      <c r="P257" s="580"/>
    </row>
    <row r="258" spans="1:16" ht="14.4">
      <c r="A258" s="624"/>
      <c r="B258" s="625"/>
      <c r="C258" s="624"/>
      <c r="D258" s="625"/>
      <c r="E258" s="626"/>
      <c r="F258" s="165"/>
      <c r="G258" s="580"/>
      <c r="H258" s="299"/>
      <c r="I258" s="580"/>
      <c r="J258" s="580"/>
      <c r="K258" s="580"/>
      <c r="L258" s="580"/>
      <c r="M258" s="580"/>
      <c r="N258" s="580"/>
      <c r="O258" s="580"/>
      <c r="P258" s="580"/>
    </row>
    <row r="259" spans="1:16" ht="14.4">
      <c r="A259" s="624"/>
      <c r="B259" s="625"/>
      <c r="C259" s="624"/>
      <c r="D259" s="625"/>
      <c r="E259" s="626"/>
      <c r="F259" s="165"/>
      <c r="G259" s="580"/>
      <c r="H259" s="299"/>
      <c r="I259" s="580"/>
      <c r="J259" s="580"/>
      <c r="K259" s="580"/>
      <c r="L259" s="580"/>
      <c r="M259" s="580"/>
      <c r="N259" s="580"/>
      <c r="O259" s="580"/>
      <c r="P259" s="580"/>
    </row>
    <row r="260" spans="1:16" ht="14.4">
      <c r="A260" s="624"/>
      <c r="B260" s="625"/>
      <c r="C260" s="624"/>
      <c r="D260" s="625"/>
      <c r="E260" s="626"/>
      <c r="F260" s="165"/>
      <c r="G260" s="580"/>
      <c r="H260" s="299"/>
      <c r="I260" s="580"/>
      <c r="J260" s="580"/>
      <c r="K260" s="580"/>
      <c r="L260" s="580"/>
      <c r="M260" s="580"/>
      <c r="N260" s="580"/>
      <c r="O260" s="580"/>
      <c r="P260" s="580"/>
    </row>
    <row r="261" spans="1:16" ht="14.4">
      <c r="A261" s="624"/>
      <c r="B261" s="625"/>
      <c r="C261" s="624"/>
      <c r="D261" s="625"/>
      <c r="E261" s="626"/>
      <c r="F261" s="165"/>
      <c r="G261" s="580"/>
      <c r="H261" s="299"/>
      <c r="I261" s="580"/>
      <c r="J261" s="580"/>
      <c r="K261" s="580"/>
      <c r="L261" s="580"/>
      <c r="M261" s="580"/>
      <c r="N261" s="580"/>
      <c r="O261" s="580"/>
      <c r="P261" s="580"/>
    </row>
    <row r="262" spans="1:16" ht="14.4">
      <c r="A262" s="624"/>
      <c r="B262" s="625"/>
      <c r="C262" s="624"/>
      <c r="D262" s="625"/>
      <c r="E262" s="626"/>
      <c r="F262" s="165"/>
      <c r="G262" s="580"/>
      <c r="H262" s="299"/>
      <c r="I262" s="580"/>
      <c r="J262" s="580"/>
      <c r="K262" s="580"/>
      <c r="L262" s="580"/>
      <c r="M262" s="580"/>
      <c r="N262" s="580"/>
      <c r="O262" s="580"/>
      <c r="P262" s="580"/>
    </row>
    <row r="263" spans="1:16" ht="14.4">
      <c r="A263" s="624"/>
      <c r="B263" s="625"/>
      <c r="C263" s="624"/>
      <c r="D263" s="625"/>
      <c r="E263" s="626"/>
      <c r="F263" s="165"/>
      <c r="G263" s="580"/>
      <c r="H263" s="299"/>
      <c r="I263" s="580"/>
      <c r="J263" s="580"/>
      <c r="K263" s="580"/>
      <c r="L263" s="580"/>
      <c r="M263" s="580"/>
      <c r="N263" s="580"/>
      <c r="O263" s="580"/>
      <c r="P263" s="580"/>
    </row>
    <row r="264" spans="1:16" ht="14.4">
      <c r="A264" s="624"/>
      <c r="B264" s="625"/>
      <c r="C264" s="624"/>
      <c r="D264" s="625"/>
      <c r="E264" s="626"/>
      <c r="F264" s="165"/>
      <c r="G264" s="580"/>
      <c r="H264" s="299"/>
      <c r="I264" s="580"/>
      <c r="J264" s="580"/>
      <c r="K264" s="580"/>
      <c r="L264" s="580"/>
      <c r="M264" s="580"/>
      <c r="N264" s="580"/>
      <c r="O264" s="580"/>
      <c r="P264" s="580"/>
    </row>
    <row r="265" spans="1:16" ht="14.4">
      <c r="A265" s="624"/>
      <c r="B265" s="625"/>
      <c r="C265" s="624"/>
      <c r="D265" s="625"/>
      <c r="E265" s="626"/>
      <c r="F265" s="165"/>
      <c r="G265" s="580"/>
      <c r="H265" s="299"/>
      <c r="I265" s="580"/>
      <c r="J265" s="580"/>
      <c r="K265" s="580"/>
      <c r="L265" s="580"/>
      <c r="M265" s="580"/>
      <c r="N265" s="580"/>
      <c r="O265" s="580"/>
      <c r="P265" s="580"/>
    </row>
    <row r="266" spans="1:16" ht="14.4">
      <c r="A266" s="624"/>
      <c r="B266" s="625"/>
      <c r="C266" s="624"/>
      <c r="D266" s="625"/>
      <c r="E266" s="626"/>
      <c r="F266" s="165"/>
      <c r="G266" s="580"/>
      <c r="H266" s="299"/>
      <c r="I266" s="580"/>
      <c r="J266" s="580"/>
      <c r="K266" s="580"/>
      <c r="L266" s="580"/>
      <c r="M266" s="580"/>
      <c r="N266" s="580"/>
      <c r="O266" s="580"/>
      <c r="P266" s="580"/>
    </row>
    <row r="267" spans="1:16" ht="14.4">
      <c r="A267" s="624"/>
      <c r="B267" s="625"/>
      <c r="C267" s="624"/>
      <c r="D267" s="625"/>
      <c r="E267" s="626"/>
      <c r="F267" s="165"/>
      <c r="G267" s="580"/>
      <c r="H267" s="299"/>
      <c r="I267" s="580"/>
      <c r="J267" s="580"/>
      <c r="K267" s="580"/>
      <c r="L267" s="580"/>
      <c r="M267" s="580"/>
      <c r="N267" s="580"/>
      <c r="O267" s="580"/>
      <c r="P267" s="580"/>
    </row>
    <row r="268" spans="1:16" ht="14.4">
      <c r="A268" s="624"/>
      <c r="B268" s="625"/>
      <c r="C268" s="624"/>
      <c r="D268" s="625"/>
      <c r="E268" s="626"/>
      <c r="F268" s="165"/>
      <c r="G268" s="580"/>
      <c r="H268" s="299"/>
      <c r="I268" s="580"/>
      <c r="J268" s="580"/>
      <c r="K268" s="580"/>
      <c r="L268" s="580"/>
      <c r="M268" s="580"/>
      <c r="N268" s="580"/>
      <c r="O268" s="580"/>
      <c r="P268" s="580"/>
    </row>
    <row r="269" spans="1:16" ht="14.4">
      <c r="A269" s="624"/>
      <c r="B269" s="625"/>
      <c r="C269" s="624"/>
      <c r="D269" s="625"/>
      <c r="E269" s="626"/>
      <c r="F269" s="165"/>
      <c r="G269" s="580"/>
      <c r="H269" s="299"/>
      <c r="I269" s="580"/>
      <c r="J269" s="580"/>
      <c r="K269" s="580"/>
      <c r="L269" s="580"/>
      <c r="M269" s="580"/>
      <c r="N269" s="580"/>
      <c r="O269" s="580"/>
      <c r="P269" s="580"/>
    </row>
    <row r="270" spans="1:16" ht="14.4">
      <c r="A270" s="624"/>
      <c r="B270" s="625"/>
      <c r="C270" s="624"/>
      <c r="D270" s="625"/>
      <c r="E270" s="626"/>
      <c r="F270" s="165"/>
      <c r="G270" s="580"/>
      <c r="H270" s="299"/>
      <c r="I270" s="580"/>
      <c r="J270" s="580"/>
      <c r="K270" s="580"/>
      <c r="L270" s="580"/>
      <c r="M270" s="580"/>
      <c r="N270" s="580"/>
      <c r="O270" s="580"/>
      <c r="P270" s="580"/>
    </row>
    <row r="271" spans="1:16" ht="14.4">
      <c r="A271" s="624"/>
      <c r="B271" s="625"/>
      <c r="C271" s="624"/>
      <c r="D271" s="625"/>
      <c r="E271" s="626"/>
      <c r="F271" s="165"/>
      <c r="G271" s="580"/>
      <c r="H271" s="299"/>
      <c r="I271" s="580"/>
      <c r="J271" s="580"/>
      <c r="K271" s="580"/>
      <c r="L271" s="580"/>
      <c r="M271" s="580"/>
      <c r="N271" s="580"/>
      <c r="O271" s="580"/>
      <c r="P271" s="580"/>
    </row>
    <row r="272" spans="1:16" ht="14.4">
      <c r="A272" s="624"/>
      <c r="B272" s="625"/>
      <c r="C272" s="624"/>
      <c r="D272" s="625"/>
      <c r="E272" s="626"/>
      <c r="F272" s="165"/>
      <c r="G272" s="580"/>
      <c r="H272" s="299"/>
      <c r="I272" s="580"/>
      <c r="J272" s="580"/>
      <c r="K272" s="580"/>
      <c r="L272" s="580"/>
      <c r="M272" s="580"/>
      <c r="N272" s="580"/>
      <c r="O272" s="580"/>
      <c r="P272" s="580"/>
    </row>
    <row r="273" spans="1:16" ht="14.4">
      <c r="A273" s="624"/>
      <c r="B273" s="625"/>
      <c r="C273" s="624"/>
      <c r="D273" s="625"/>
      <c r="E273" s="626"/>
      <c r="F273" s="165"/>
      <c r="G273" s="580"/>
      <c r="H273" s="299"/>
      <c r="I273" s="580"/>
      <c r="J273" s="580"/>
      <c r="K273" s="580"/>
      <c r="L273" s="580"/>
      <c r="M273" s="580"/>
      <c r="N273" s="580"/>
      <c r="O273" s="580"/>
      <c r="P273" s="580"/>
    </row>
    <row r="274" spans="1:16" ht="14.4">
      <c r="A274" s="624"/>
      <c r="B274" s="625"/>
      <c r="C274" s="624"/>
      <c r="D274" s="625"/>
      <c r="E274" s="626"/>
      <c r="F274" s="165"/>
      <c r="G274" s="580"/>
      <c r="H274" s="299"/>
      <c r="I274" s="580"/>
      <c r="J274" s="580"/>
      <c r="K274" s="580"/>
      <c r="L274" s="580"/>
      <c r="M274" s="580"/>
      <c r="N274" s="580"/>
      <c r="O274" s="580"/>
      <c r="P274" s="580"/>
    </row>
    <row r="275" spans="1:16" ht="14.4">
      <c r="A275" s="624"/>
      <c r="B275" s="625"/>
      <c r="C275" s="624"/>
      <c r="D275" s="625"/>
      <c r="E275" s="626"/>
      <c r="F275" s="165"/>
      <c r="G275" s="580"/>
      <c r="H275" s="299"/>
      <c r="I275" s="580"/>
      <c r="J275" s="580"/>
      <c r="K275" s="580"/>
      <c r="L275" s="580"/>
      <c r="M275" s="580"/>
      <c r="N275" s="580"/>
      <c r="O275" s="580"/>
      <c r="P275" s="580"/>
    </row>
    <row r="276" spans="1:16" ht="14.4">
      <c r="A276" s="624"/>
      <c r="B276" s="625"/>
      <c r="C276" s="624"/>
      <c r="D276" s="625"/>
      <c r="E276" s="626"/>
      <c r="F276" s="165"/>
      <c r="G276" s="580"/>
      <c r="H276" s="299"/>
      <c r="I276" s="580"/>
      <c r="J276" s="580"/>
      <c r="K276" s="580"/>
      <c r="L276" s="580"/>
      <c r="M276" s="580"/>
      <c r="N276" s="580"/>
      <c r="O276" s="580"/>
      <c r="P276" s="580"/>
    </row>
    <row r="277" spans="1:16" ht="14.4">
      <c r="A277" s="624"/>
      <c r="B277" s="625"/>
      <c r="C277" s="624"/>
      <c r="D277" s="625"/>
      <c r="E277" s="626"/>
      <c r="F277" s="165"/>
      <c r="G277" s="580"/>
      <c r="H277" s="299"/>
      <c r="I277" s="580"/>
      <c r="J277" s="580"/>
      <c r="K277" s="580"/>
      <c r="L277" s="580"/>
      <c r="M277" s="580"/>
      <c r="N277" s="580"/>
      <c r="O277" s="580"/>
      <c r="P277" s="580"/>
    </row>
    <row r="278" spans="1:16" ht="14.4">
      <c r="A278" s="624"/>
      <c r="B278" s="625"/>
      <c r="C278" s="624"/>
      <c r="D278" s="625"/>
      <c r="E278" s="626"/>
      <c r="F278" s="165"/>
      <c r="G278" s="580"/>
      <c r="H278" s="299"/>
      <c r="I278" s="580"/>
      <c r="J278" s="580"/>
      <c r="K278" s="580"/>
      <c r="L278" s="580"/>
      <c r="M278" s="580"/>
      <c r="N278" s="580"/>
      <c r="O278" s="580"/>
      <c r="P278" s="580"/>
    </row>
    <row r="279" spans="1:16" ht="14.4">
      <c r="A279" s="624"/>
      <c r="B279" s="625"/>
      <c r="C279" s="624"/>
      <c r="D279" s="625"/>
      <c r="E279" s="626"/>
      <c r="F279" s="165"/>
      <c r="G279" s="580"/>
      <c r="H279" s="299"/>
      <c r="I279" s="580"/>
      <c r="J279" s="580"/>
      <c r="K279" s="580"/>
      <c r="L279" s="580"/>
      <c r="M279" s="580"/>
      <c r="N279" s="580"/>
      <c r="O279" s="580"/>
      <c r="P279" s="580"/>
    </row>
    <row r="280" spans="1:16" ht="14.4">
      <c r="A280" s="624"/>
      <c r="B280" s="625"/>
      <c r="C280" s="624"/>
      <c r="D280" s="625"/>
      <c r="E280" s="626"/>
      <c r="F280" s="165"/>
      <c r="G280" s="580"/>
      <c r="H280" s="299"/>
      <c r="I280" s="580"/>
      <c r="J280" s="580"/>
      <c r="K280" s="580"/>
      <c r="L280" s="580"/>
      <c r="M280" s="580"/>
      <c r="N280" s="580"/>
      <c r="O280" s="580"/>
      <c r="P280" s="580"/>
    </row>
    <row r="281" spans="1:16" ht="14.4">
      <c r="A281" s="624"/>
      <c r="B281" s="625"/>
      <c r="C281" s="624"/>
      <c r="D281" s="625"/>
      <c r="E281" s="626"/>
      <c r="F281" s="165"/>
      <c r="G281" s="580"/>
      <c r="H281" s="299"/>
      <c r="I281" s="580"/>
      <c r="J281" s="580"/>
      <c r="K281" s="580"/>
      <c r="L281" s="580"/>
      <c r="M281" s="580"/>
      <c r="N281" s="580"/>
      <c r="O281" s="580"/>
      <c r="P281" s="580"/>
    </row>
    <row r="282" spans="1:16" ht="14.4">
      <c r="A282" s="624"/>
      <c r="B282" s="625"/>
      <c r="C282" s="624"/>
      <c r="D282" s="625"/>
      <c r="E282" s="626"/>
      <c r="F282" s="165"/>
      <c r="G282" s="580"/>
      <c r="H282" s="299"/>
      <c r="I282" s="580"/>
      <c r="J282" s="580"/>
      <c r="K282" s="580"/>
      <c r="L282" s="580"/>
      <c r="M282" s="580"/>
      <c r="N282" s="580"/>
      <c r="O282" s="580"/>
      <c r="P282" s="580"/>
    </row>
    <row r="283" spans="1:16" ht="14.4">
      <c r="A283" s="624"/>
      <c r="B283" s="625"/>
      <c r="C283" s="624"/>
      <c r="D283" s="625"/>
      <c r="E283" s="626"/>
      <c r="F283" s="165"/>
      <c r="G283" s="580"/>
      <c r="H283" s="299"/>
      <c r="I283" s="580"/>
      <c r="J283" s="580"/>
      <c r="K283" s="580"/>
      <c r="L283" s="580"/>
      <c r="M283" s="580"/>
      <c r="N283" s="580"/>
      <c r="O283" s="580"/>
      <c r="P283" s="580"/>
    </row>
    <row r="284" spans="1:16" ht="14.4">
      <c r="A284" s="624"/>
      <c r="B284" s="625"/>
      <c r="C284" s="624"/>
      <c r="D284" s="625"/>
      <c r="E284" s="626"/>
      <c r="F284" s="165"/>
      <c r="G284" s="580"/>
      <c r="H284" s="299"/>
      <c r="I284" s="580"/>
      <c r="J284" s="580"/>
      <c r="K284" s="580"/>
      <c r="L284" s="580"/>
      <c r="M284" s="580"/>
      <c r="N284" s="580"/>
      <c r="O284" s="580"/>
      <c r="P284" s="580"/>
    </row>
    <row r="285" spans="1:16" ht="14.4">
      <c r="A285" s="624"/>
      <c r="B285" s="625"/>
      <c r="C285" s="624"/>
      <c r="D285" s="625"/>
      <c r="E285" s="626"/>
      <c r="F285" s="165"/>
      <c r="G285" s="580"/>
      <c r="H285" s="299"/>
      <c r="I285" s="580"/>
      <c r="J285" s="580"/>
      <c r="K285" s="580"/>
      <c r="L285" s="580"/>
      <c r="M285" s="580"/>
      <c r="N285" s="580"/>
      <c r="O285" s="580"/>
      <c r="P285" s="580"/>
    </row>
    <row r="286" spans="1:16" ht="14.4">
      <c r="A286" s="624"/>
      <c r="B286" s="625"/>
      <c r="C286" s="624"/>
      <c r="D286" s="625"/>
      <c r="E286" s="626"/>
      <c r="F286" s="165"/>
      <c r="G286" s="580"/>
      <c r="H286" s="299"/>
      <c r="I286" s="580"/>
      <c r="J286" s="580"/>
      <c r="K286" s="580"/>
      <c r="L286" s="580"/>
      <c r="M286" s="580"/>
      <c r="N286" s="580"/>
      <c r="O286" s="580"/>
      <c r="P286" s="580"/>
    </row>
    <row r="287" spans="1:16" ht="14.4">
      <c r="A287" s="624"/>
      <c r="B287" s="625"/>
      <c r="C287" s="624"/>
      <c r="D287" s="625"/>
      <c r="E287" s="626"/>
      <c r="F287" s="165"/>
      <c r="G287" s="580"/>
      <c r="H287" s="299"/>
      <c r="I287" s="580"/>
      <c r="J287" s="580"/>
      <c r="K287" s="580"/>
      <c r="L287" s="580"/>
      <c r="M287" s="580"/>
      <c r="N287" s="580"/>
      <c r="O287" s="580"/>
      <c r="P287" s="580"/>
    </row>
    <row r="288" spans="1:16" ht="14.4">
      <c r="A288" s="624"/>
      <c r="B288" s="625"/>
      <c r="C288" s="624"/>
      <c r="D288" s="625"/>
      <c r="E288" s="626"/>
      <c r="F288" s="165"/>
      <c r="G288" s="580"/>
      <c r="H288" s="299"/>
      <c r="I288" s="580"/>
      <c r="J288" s="580"/>
      <c r="K288" s="580"/>
      <c r="L288" s="580"/>
      <c r="M288" s="580"/>
      <c r="N288" s="580"/>
      <c r="O288" s="580"/>
      <c r="P288" s="580"/>
    </row>
    <row r="289" spans="1:16" ht="14.4">
      <c r="A289" s="624"/>
      <c r="B289" s="625"/>
      <c r="C289" s="624"/>
      <c r="D289" s="625"/>
      <c r="E289" s="626"/>
      <c r="F289" s="165"/>
      <c r="G289" s="580"/>
      <c r="H289" s="299"/>
      <c r="I289" s="580"/>
      <c r="J289" s="580"/>
      <c r="K289" s="580"/>
      <c r="L289" s="580"/>
      <c r="M289" s="580"/>
      <c r="N289" s="580"/>
      <c r="O289" s="580"/>
      <c r="P289" s="580"/>
    </row>
    <row r="290" spans="1:16" ht="14.4">
      <c r="A290" s="624"/>
      <c r="B290" s="625"/>
      <c r="C290" s="624"/>
      <c r="D290" s="625"/>
      <c r="E290" s="626"/>
      <c r="F290" s="165"/>
      <c r="G290" s="580"/>
      <c r="H290" s="299"/>
      <c r="I290" s="580"/>
      <c r="J290" s="580"/>
      <c r="K290" s="580"/>
      <c r="L290" s="580"/>
      <c r="M290" s="580"/>
      <c r="N290" s="580"/>
      <c r="O290" s="580"/>
      <c r="P290" s="580"/>
    </row>
    <row r="291" spans="1:16" ht="14.4">
      <c r="A291" s="624"/>
      <c r="B291" s="625"/>
      <c r="C291" s="624"/>
      <c r="D291" s="625"/>
      <c r="E291" s="626"/>
      <c r="F291" s="165"/>
      <c r="G291" s="580"/>
      <c r="H291" s="299"/>
      <c r="I291" s="580"/>
      <c r="J291" s="580"/>
      <c r="K291" s="580"/>
      <c r="L291" s="580"/>
      <c r="M291" s="580"/>
      <c r="N291" s="580"/>
      <c r="O291" s="580"/>
      <c r="P291" s="580"/>
    </row>
    <row r="292" spans="1:16" ht="14.4">
      <c r="A292" s="624"/>
      <c r="B292" s="625"/>
      <c r="C292" s="624"/>
      <c r="D292" s="625"/>
      <c r="E292" s="626"/>
      <c r="F292" s="165"/>
      <c r="G292" s="580"/>
      <c r="H292" s="299"/>
      <c r="I292" s="580"/>
      <c r="J292" s="580"/>
      <c r="K292" s="580"/>
      <c r="L292" s="580"/>
      <c r="M292" s="580"/>
      <c r="N292" s="580"/>
      <c r="O292" s="580"/>
      <c r="P292" s="580"/>
    </row>
    <row r="293" spans="1:16" ht="14.4">
      <c r="A293" s="624"/>
      <c r="B293" s="625"/>
      <c r="C293" s="624"/>
      <c r="D293" s="625"/>
      <c r="E293" s="626"/>
      <c r="F293" s="165"/>
      <c r="G293" s="580"/>
      <c r="H293" s="299"/>
      <c r="I293" s="580"/>
      <c r="J293" s="580"/>
      <c r="K293" s="580"/>
      <c r="L293" s="580"/>
      <c r="M293" s="580"/>
      <c r="N293" s="580"/>
      <c r="O293" s="580"/>
      <c r="P293" s="580"/>
    </row>
    <row r="294" spans="1:16" ht="14.4">
      <c r="A294" s="624"/>
      <c r="B294" s="625"/>
      <c r="C294" s="624"/>
      <c r="D294" s="625"/>
      <c r="E294" s="626"/>
      <c r="F294" s="165"/>
      <c r="G294" s="580"/>
      <c r="H294" s="299"/>
      <c r="I294" s="580"/>
      <c r="J294" s="580"/>
      <c r="K294" s="580"/>
      <c r="L294" s="580"/>
      <c r="M294" s="580"/>
      <c r="N294" s="580"/>
      <c r="O294" s="580"/>
      <c r="P294" s="580"/>
    </row>
    <row r="295" spans="1:16" ht="14.4">
      <c r="A295" s="624"/>
      <c r="B295" s="625"/>
      <c r="C295" s="624"/>
      <c r="D295" s="625"/>
      <c r="E295" s="626"/>
      <c r="F295" s="165"/>
      <c r="G295" s="580"/>
      <c r="H295" s="299"/>
      <c r="I295" s="580"/>
      <c r="J295" s="580"/>
      <c r="K295" s="580"/>
      <c r="L295" s="580"/>
      <c r="M295" s="580"/>
      <c r="N295" s="580"/>
      <c r="O295" s="580"/>
      <c r="P295" s="580"/>
    </row>
    <row r="296" spans="1:16" ht="14.4">
      <c r="A296" s="624"/>
      <c r="B296" s="625"/>
      <c r="C296" s="624"/>
      <c r="D296" s="625"/>
      <c r="E296" s="626"/>
      <c r="F296" s="165"/>
      <c r="G296" s="580"/>
      <c r="H296" s="299"/>
      <c r="I296" s="580"/>
      <c r="J296" s="580"/>
      <c r="K296" s="580"/>
      <c r="L296" s="580"/>
      <c r="M296" s="580"/>
      <c r="N296" s="580"/>
      <c r="O296" s="580"/>
      <c r="P296" s="580"/>
    </row>
    <row r="297" spans="1:16" ht="14.4">
      <c r="A297" s="624"/>
      <c r="B297" s="625"/>
      <c r="C297" s="624"/>
      <c r="D297" s="625"/>
      <c r="E297" s="626"/>
      <c r="F297" s="165"/>
      <c r="G297" s="580"/>
      <c r="H297" s="299"/>
      <c r="I297" s="580"/>
      <c r="J297" s="580"/>
      <c r="K297" s="580"/>
      <c r="L297" s="580"/>
      <c r="M297" s="580"/>
      <c r="N297" s="580"/>
      <c r="O297" s="580"/>
      <c r="P297" s="580"/>
    </row>
    <row r="298" spans="1:16" ht="14.4">
      <c r="A298" s="624"/>
      <c r="B298" s="625"/>
      <c r="C298" s="624"/>
      <c r="D298" s="625"/>
      <c r="E298" s="626"/>
      <c r="F298" s="165"/>
      <c r="G298" s="580"/>
      <c r="H298" s="299"/>
      <c r="I298" s="580"/>
      <c r="J298" s="580"/>
      <c r="K298" s="580"/>
      <c r="L298" s="580"/>
      <c r="M298" s="580"/>
      <c r="N298" s="580"/>
      <c r="O298" s="580"/>
      <c r="P298" s="580"/>
    </row>
    <row r="299" spans="1:16" ht="14.4">
      <c r="A299" s="624"/>
      <c r="B299" s="625"/>
      <c r="C299" s="624"/>
      <c r="D299" s="625"/>
      <c r="E299" s="626"/>
      <c r="F299" s="165"/>
      <c r="G299" s="580"/>
      <c r="H299" s="299"/>
      <c r="I299" s="580"/>
      <c r="J299" s="580"/>
      <c r="K299" s="580"/>
      <c r="L299" s="580"/>
      <c r="M299" s="580"/>
      <c r="N299" s="580"/>
      <c r="O299" s="580"/>
      <c r="P299" s="580"/>
    </row>
    <row r="300" spans="1:16" ht="14.4">
      <c r="A300" s="624"/>
      <c r="B300" s="625"/>
      <c r="C300" s="624"/>
      <c r="D300" s="625"/>
      <c r="E300" s="626"/>
      <c r="F300" s="165"/>
      <c r="G300" s="580"/>
      <c r="H300" s="299"/>
      <c r="I300" s="580"/>
      <c r="J300" s="580"/>
      <c r="K300" s="580"/>
      <c r="L300" s="580"/>
      <c r="M300" s="580"/>
      <c r="N300" s="580"/>
      <c r="O300" s="580"/>
      <c r="P300" s="580"/>
    </row>
    <row r="301" spans="1:16" ht="14.4">
      <c r="A301" s="624"/>
      <c r="B301" s="625"/>
      <c r="C301" s="624"/>
      <c r="D301" s="625"/>
      <c r="E301" s="626"/>
      <c r="F301" s="165"/>
      <c r="G301" s="580"/>
      <c r="H301" s="299"/>
      <c r="I301" s="580"/>
      <c r="J301" s="580"/>
      <c r="K301" s="580"/>
      <c r="L301" s="580"/>
      <c r="M301" s="580"/>
      <c r="N301" s="580"/>
      <c r="O301" s="580"/>
      <c r="P301" s="580"/>
    </row>
    <row r="302" spans="1:16" ht="14.4">
      <c r="A302" s="624"/>
      <c r="B302" s="625"/>
      <c r="C302" s="624"/>
      <c r="D302" s="625"/>
      <c r="E302" s="626"/>
      <c r="F302" s="165"/>
      <c r="G302" s="580"/>
      <c r="H302" s="299"/>
      <c r="I302" s="580"/>
      <c r="J302" s="580"/>
      <c r="K302" s="580"/>
      <c r="L302" s="580"/>
      <c r="M302" s="580"/>
      <c r="N302" s="580"/>
      <c r="O302" s="580"/>
      <c r="P302" s="580"/>
    </row>
    <row r="303" spans="1:16" ht="14.4">
      <c r="A303" s="624"/>
      <c r="B303" s="625"/>
      <c r="C303" s="624"/>
      <c r="D303" s="625"/>
      <c r="E303" s="626"/>
      <c r="F303" s="165"/>
      <c r="G303" s="580"/>
      <c r="H303" s="299"/>
      <c r="I303" s="580"/>
      <c r="J303" s="580"/>
      <c r="K303" s="580"/>
      <c r="L303" s="580"/>
      <c r="M303" s="580"/>
      <c r="N303" s="580"/>
      <c r="O303" s="580"/>
      <c r="P303" s="580"/>
    </row>
    <row r="304" spans="1:16" ht="14.4">
      <c r="A304" s="624"/>
      <c r="B304" s="625"/>
      <c r="C304" s="624"/>
      <c r="D304" s="625"/>
      <c r="E304" s="626"/>
      <c r="F304" s="165"/>
      <c r="G304" s="580"/>
      <c r="H304" s="299"/>
      <c r="I304" s="580"/>
      <c r="J304" s="580"/>
      <c r="K304" s="580"/>
      <c r="L304" s="580"/>
      <c r="M304" s="580"/>
      <c r="N304" s="580"/>
      <c r="O304" s="580"/>
      <c r="P304" s="580"/>
    </row>
    <row r="305" spans="1:16" ht="14.4">
      <c r="A305" s="624"/>
      <c r="B305" s="625"/>
      <c r="C305" s="624"/>
      <c r="D305" s="625"/>
      <c r="E305" s="626"/>
      <c r="F305" s="165"/>
      <c r="G305" s="580"/>
      <c r="H305" s="299"/>
      <c r="I305" s="580"/>
      <c r="J305" s="580"/>
      <c r="K305" s="580"/>
      <c r="L305" s="580"/>
      <c r="M305" s="580"/>
      <c r="N305" s="580"/>
      <c r="O305" s="580"/>
      <c r="P305" s="580"/>
    </row>
    <row r="306" spans="1:16" ht="14.4">
      <c r="A306" s="624"/>
      <c r="B306" s="625"/>
      <c r="C306" s="624"/>
      <c r="D306" s="625"/>
      <c r="E306" s="626"/>
      <c r="F306" s="165"/>
      <c r="G306" s="580"/>
      <c r="H306" s="299"/>
      <c r="I306" s="580"/>
      <c r="J306" s="580"/>
      <c r="K306" s="580"/>
      <c r="L306" s="580"/>
      <c r="M306" s="580"/>
      <c r="N306" s="580"/>
      <c r="O306" s="580"/>
      <c r="P306" s="580"/>
    </row>
    <row r="307" spans="1:16" ht="14.4">
      <c r="A307" s="624"/>
      <c r="B307" s="625"/>
      <c r="C307" s="624"/>
      <c r="D307" s="625"/>
      <c r="E307" s="626"/>
      <c r="F307" s="165"/>
      <c r="G307" s="580"/>
      <c r="H307" s="299"/>
      <c r="I307" s="580"/>
      <c r="J307" s="580"/>
      <c r="K307" s="580"/>
      <c r="L307" s="580"/>
      <c r="M307" s="580"/>
      <c r="N307" s="580"/>
      <c r="O307" s="580"/>
      <c r="P307" s="580"/>
    </row>
    <row r="308" spans="1:16" ht="14.4">
      <c r="A308" s="624"/>
      <c r="B308" s="625"/>
      <c r="C308" s="624"/>
      <c r="D308" s="625"/>
      <c r="E308" s="626"/>
      <c r="F308" s="165"/>
      <c r="G308" s="580"/>
      <c r="H308" s="299"/>
      <c r="I308" s="580"/>
      <c r="J308" s="580"/>
      <c r="K308" s="580"/>
      <c r="L308" s="580"/>
      <c r="M308" s="580"/>
      <c r="N308" s="580"/>
      <c r="O308" s="580"/>
      <c r="P308" s="580"/>
    </row>
    <row r="309" spans="1:16" ht="14.4">
      <c r="A309" s="624"/>
      <c r="B309" s="625"/>
      <c r="C309" s="624"/>
      <c r="D309" s="625"/>
      <c r="E309" s="626"/>
      <c r="F309" s="165"/>
      <c r="G309" s="580"/>
      <c r="H309" s="299"/>
      <c r="I309" s="580"/>
      <c r="J309" s="580"/>
      <c r="K309" s="580"/>
      <c r="L309" s="580"/>
      <c r="M309" s="580"/>
      <c r="N309" s="580"/>
      <c r="O309" s="580"/>
      <c r="P309" s="580"/>
    </row>
    <row r="310" spans="1:16" ht="14.4">
      <c r="A310" s="624"/>
      <c r="B310" s="625"/>
      <c r="C310" s="624"/>
      <c r="D310" s="625"/>
      <c r="E310" s="626"/>
      <c r="F310" s="165"/>
      <c r="G310" s="580"/>
      <c r="H310" s="299"/>
      <c r="I310" s="580"/>
      <c r="J310" s="580"/>
      <c r="K310" s="580"/>
      <c r="L310" s="580"/>
      <c r="M310" s="580"/>
      <c r="N310" s="580"/>
      <c r="O310" s="580"/>
      <c r="P310" s="580"/>
    </row>
    <row r="311" spans="1:16" ht="14.4">
      <c r="A311" s="624"/>
      <c r="B311" s="625"/>
      <c r="C311" s="624"/>
      <c r="D311" s="625"/>
      <c r="E311" s="626"/>
      <c r="F311" s="165"/>
      <c r="G311" s="580"/>
      <c r="H311" s="299"/>
      <c r="I311" s="580"/>
      <c r="J311" s="580"/>
      <c r="K311" s="580"/>
      <c r="L311" s="580"/>
      <c r="M311" s="580"/>
      <c r="N311" s="580"/>
      <c r="O311" s="580"/>
      <c r="P311" s="580"/>
    </row>
    <row r="312" spans="1:16" ht="14.4">
      <c r="A312" s="624"/>
      <c r="B312" s="625"/>
      <c r="C312" s="624"/>
      <c r="D312" s="625"/>
      <c r="E312" s="626"/>
      <c r="F312" s="165"/>
      <c r="G312" s="580"/>
      <c r="H312" s="299"/>
      <c r="I312" s="580"/>
      <c r="J312" s="580"/>
      <c r="K312" s="580"/>
      <c r="L312" s="580"/>
      <c r="M312" s="580"/>
      <c r="N312" s="580"/>
      <c r="O312" s="580"/>
      <c r="P312" s="580"/>
    </row>
    <row r="313" spans="1:16" ht="14.4">
      <c r="A313" s="624"/>
      <c r="B313" s="625"/>
      <c r="C313" s="624"/>
      <c r="D313" s="625"/>
      <c r="E313" s="626"/>
      <c r="F313" s="165"/>
      <c r="G313" s="580"/>
      <c r="H313" s="299"/>
      <c r="I313" s="580"/>
      <c r="J313" s="580"/>
      <c r="K313" s="580"/>
      <c r="L313" s="580"/>
      <c r="M313" s="580"/>
      <c r="N313" s="580"/>
      <c r="O313" s="580"/>
      <c r="P313" s="580"/>
    </row>
    <row r="314" spans="1:16" ht="14.4">
      <c r="A314" s="624"/>
      <c r="B314" s="625"/>
      <c r="C314" s="624"/>
      <c r="D314" s="625"/>
      <c r="E314" s="626"/>
      <c r="F314" s="165"/>
      <c r="G314" s="580"/>
      <c r="H314" s="299"/>
      <c r="I314" s="580"/>
      <c r="J314" s="580"/>
      <c r="K314" s="580"/>
      <c r="L314" s="580"/>
      <c r="M314" s="580"/>
      <c r="N314" s="580"/>
      <c r="O314" s="580"/>
      <c r="P314" s="580"/>
    </row>
    <row r="315" spans="1:16" ht="14.4">
      <c r="A315" s="624"/>
      <c r="B315" s="625"/>
      <c r="C315" s="624"/>
      <c r="D315" s="625"/>
      <c r="E315" s="626"/>
      <c r="F315" s="165"/>
      <c r="G315" s="580"/>
      <c r="H315" s="299"/>
      <c r="I315" s="580"/>
      <c r="J315" s="580"/>
      <c r="K315" s="580"/>
      <c r="L315" s="580"/>
      <c r="M315" s="580"/>
      <c r="N315" s="580"/>
      <c r="O315" s="580"/>
      <c r="P315" s="580"/>
    </row>
    <row r="316" spans="1:16" ht="14.4">
      <c r="A316" s="624"/>
      <c r="B316" s="625"/>
      <c r="C316" s="624"/>
      <c r="D316" s="625"/>
      <c r="E316" s="626"/>
      <c r="F316" s="165"/>
      <c r="G316" s="580"/>
      <c r="H316" s="299"/>
      <c r="I316" s="580"/>
      <c r="J316" s="580"/>
      <c r="K316" s="580"/>
      <c r="L316" s="580"/>
      <c r="M316" s="580"/>
      <c r="N316" s="580"/>
      <c r="O316" s="580"/>
      <c r="P316" s="580"/>
    </row>
    <row r="317" spans="1:16" ht="14.4">
      <c r="A317" s="624"/>
      <c r="B317" s="625"/>
      <c r="C317" s="624"/>
      <c r="D317" s="625"/>
      <c r="E317" s="626"/>
      <c r="F317" s="165"/>
      <c r="G317" s="580"/>
      <c r="H317" s="299"/>
      <c r="I317" s="580"/>
      <c r="J317" s="580"/>
      <c r="K317" s="580"/>
      <c r="L317" s="580"/>
      <c r="M317" s="580"/>
      <c r="N317" s="580"/>
      <c r="O317" s="580"/>
      <c r="P317" s="580"/>
    </row>
    <row r="318" spans="1:16" ht="14.4">
      <c r="A318" s="624"/>
      <c r="B318" s="625"/>
      <c r="C318" s="624"/>
      <c r="D318" s="625"/>
      <c r="E318" s="626"/>
      <c r="F318" s="165"/>
      <c r="G318" s="580"/>
      <c r="H318" s="299"/>
      <c r="I318" s="580"/>
      <c r="J318" s="580"/>
      <c r="K318" s="580"/>
      <c r="L318" s="580"/>
      <c r="M318" s="580"/>
      <c r="N318" s="580"/>
      <c r="O318" s="580"/>
      <c r="P318" s="580"/>
    </row>
    <row r="319" spans="1:16" ht="14.4">
      <c r="A319" s="624"/>
      <c r="B319" s="625"/>
      <c r="C319" s="624"/>
      <c r="D319" s="625"/>
      <c r="E319" s="626"/>
      <c r="F319" s="165"/>
      <c r="G319" s="580"/>
      <c r="H319" s="299"/>
      <c r="I319" s="580"/>
      <c r="J319" s="580"/>
      <c r="K319" s="580"/>
      <c r="L319" s="580"/>
      <c r="M319" s="580"/>
      <c r="N319" s="580"/>
      <c r="O319" s="580"/>
      <c r="P319" s="580"/>
    </row>
    <row r="320" spans="1:16" ht="14.4">
      <c r="A320" s="624"/>
      <c r="B320" s="625"/>
      <c r="C320" s="624"/>
      <c r="D320" s="625"/>
      <c r="E320" s="626"/>
      <c r="F320" s="165"/>
      <c r="G320" s="580"/>
      <c r="H320" s="299"/>
      <c r="I320" s="580"/>
      <c r="J320" s="580"/>
      <c r="K320" s="580"/>
      <c r="L320" s="580"/>
      <c r="M320" s="580"/>
      <c r="N320" s="580"/>
      <c r="O320" s="580"/>
      <c r="P320" s="580"/>
    </row>
    <row r="321" spans="1:16" ht="14.4">
      <c r="A321" s="624"/>
      <c r="B321" s="625"/>
      <c r="C321" s="624"/>
      <c r="D321" s="625"/>
      <c r="E321" s="626"/>
      <c r="F321" s="165"/>
      <c r="G321" s="580"/>
      <c r="H321" s="299"/>
      <c r="I321" s="580"/>
      <c r="J321" s="580"/>
      <c r="K321" s="580"/>
      <c r="L321" s="580"/>
      <c r="M321" s="580"/>
      <c r="N321" s="580"/>
      <c r="O321" s="580"/>
      <c r="P321" s="580"/>
    </row>
    <row r="322" spans="1:16" ht="14.4">
      <c r="A322" s="624"/>
      <c r="B322" s="625"/>
      <c r="C322" s="624"/>
      <c r="D322" s="625"/>
      <c r="E322" s="626"/>
      <c r="F322" s="165"/>
      <c r="G322" s="580"/>
      <c r="H322" s="299"/>
      <c r="I322" s="580"/>
      <c r="J322" s="580"/>
      <c r="K322" s="580"/>
      <c r="L322" s="580"/>
      <c r="M322" s="580"/>
      <c r="N322" s="580"/>
      <c r="O322" s="580"/>
      <c r="P322" s="580"/>
    </row>
    <row r="323" spans="1:16" ht="14.4">
      <c r="A323" s="624"/>
      <c r="B323" s="625"/>
      <c r="C323" s="624"/>
      <c r="D323" s="625"/>
      <c r="E323" s="626"/>
      <c r="F323" s="165"/>
      <c r="G323" s="580"/>
      <c r="H323" s="299"/>
      <c r="I323" s="580"/>
      <c r="J323" s="580"/>
      <c r="K323" s="580"/>
      <c r="L323" s="580"/>
      <c r="M323" s="580"/>
      <c r="N323" s="580"/>
      <c r="O323" s="580"/>
      <c r="P323" s="580"/>
    </row>
    <row r="324" spans="1:16" ht="14.4">
      <c r="A324" s="624"/>
      <c r="B324" s="625"/>
      <c r="C324" s="624"/>
      <c r="D324" s="625"/>
      <c r="E324" s="626"/>
      <c r="F324" s="165"/>
      <c r="G324" s="580"/>
      <c r="H324" s="299"/>
      <c r="I324" s="580"/>
      <c r="J324" s="580"/>
      <c r="K324" s="580"/>
      <c r="L324" s="580"/>
      <c r="M324" s="580"/>
      <c r="N324" s="580"/>
      <c r="O324" s="580"/>
      <c r="P324" s="580"/>
    </row>
    <row r="325" spans="1:16" ht="14.4">
      <c r="A325" s="624"/>
      <c r="B325" s="625"/>
      <c r="C325" s="624"/>
      <c r="D325" s="625"/>
      <c r="E325" s="626"/>
      <c r="F325" s="165"/>
      <c r="G325" s="580"/>
      <c r="H325" s="299"/>
      <c r="I325" s="580"/>
      <c r="J325" s="580"/>
      <c r="K325" s="580"/>
      <c r="L325" s="580"/>
      <c r="M325" s="580"/>
      <c r="N325" s="580"/>
      <c r="O325" s="580"/>
      <c r="P325" s="580"/>
    </row>
    <row r="326" spans="1:16" ht="14.4">
      <c r="A326" s="624"/>
      <c r="B326" s="625"/>
      <c r="C326" s="624"/>
      <c r="D326" s="625"/>
      <c r="E326" s="626"/>
      <c r="F326" s="165"/>
      <c r="G326" s="580"/>
      <c r="H326" s="299"/>
      <c r="I326" s="580"/>
      <c r="J326" s="580"/>
      <c r="K326" s="580"/>
      <c r="L326" s="580"/>
      <c r="M326" s="580"/>
      <c r="N326" s="580"/>
      <c r="O326" s="580"/>
      <c r="P326" s="580"/>
    </row>
    <row r="327" spans="1:16" ht="14.4">
      <c r="A327" s="624"/>
      <c r="B327" s="625"/>
      <c r="C327" s="624"/>
      <c r="D327" s="625"/>
      <c r="E327" s="626"/>
      <c r="F327" s="165"/>
      <c r="G327" s="580"/>
      <c r="H327" s="299"/>
      <c r="I327" s="580"/>
      <c r="J327" s="580"/>
      <c r="K327" s="580"/>
      <c r="L327" s="580"/>
      <c r="M327" s="580"/>
      <c r="N327" s="580"/>
      <c r="O327" s="580"/>
      <c r="P327" s="580"/>
    </row>
    <row r="328" spans="1:16" ht="14.4">
      <c r="A328" s="624"/>
      <c r="B328" s="625"/>
      <c r="C328" s="624"/>
      <c r="D328" s="625"/>
      <c r="E328" s="626"/>
      <c r="F328" s="165"/>
      <c r="G328" s="580"/>
      <c r="H328" s="299"/>
      <c r="I328" s="580"/>
      <c r="J328" s="580"/>
      <c r="K328" s="580"/>
      <c r="L328" s="580"/>
      <c r="M328" s="580"/>
      <c r="N328" s="580"/>
      <c r="O328" s="580"/>
      <c r="P328" s="580"/>
    </row>
    <row r="329" spans="1:16" ht="14.4">
      <c r="A329" s="624"/>
      <c r="B329" s="625"/>
      <c r="C329" s="624"/>
      <c r="D329" s="625"/>
      <c r="E329" s="626"/>
      <c r="F329" s="165"/>
      <c r="G329" s="580"/>
      <c r="H329" s="299"/>
      <c r="I329" s="580"/>
      <c r="J329" s="580"/>
      <c r="K329" s="580"/>
      <c r="L329" s="580"/>
      <c r="M329" s="580"/>
      <c r="N329" s="580"/>
      <c r="O329" s="580"/>
      <c r="P329" s="580"/>
    </row>
    <row r="330" spans="1:16" ht="14.4">
      <c r="A330" s="624"/>
      <c r="B330" s="625"/>
      <c r="C330" s="624"/>
      <c r="D330" s="625"/>
      <c r="E330" s="626"/>
      <c r="F330" s="165"/>
      <c r="G330" s="580"/>
      <c r="H330" s="299"/>
      <c r="I330" s="580"/>
      <c r="J330" s="580"/>
      <c r="K330" s="580"/>
      <c r="L330" s="580"/>
      <c r="M330" s="580"/>
      <c r="N330" s="580"/>
      <c r="O330" s="580"/>
      <c r="P330" s="580"/>
    </row>
    <row r="331" spans="1:16" ht="14.4">
      <c r="A331" s="624"/>
      <c r="B331" s="625"/>
      <c r="C331" s="624"/>
      <c r="D331" s="625"/>
      <c r="E331" s="626"/>
      <c r="F331" s="165"/>
      <c r="G331" s="580"/>
      <c r="H331" s="299"/>
      <c r="I331" s="580"/>
      <c r="J331" s="580"/>
      <c r="K331" s="580"/>
      <c r="L331" s="580"/>
      <c r="M331" s="580"/>
      <c r="N331" s="580"/>
      <c r="O331" s="580"/>
      <c r="P331" s="580"/>
    </row>
    <row r="332" spans="1:16" ht="14.4">
      <c r="A332" s="624"/>
      <c r="B332" s="625"/>
      <c r="C332" s="624"/>
      <c r="D332" s="625"/>
      <c r="E332" s="626"/>
      <c r="F332" s="165"/>
      <c r="G332" s="580"/>
      <c r="H332" s="299"/>
      <c r="I332" s="580"/>
      <c r="J332" s="580"/>
      <c r="K332" s="580"/>
      <c r="L332" s="580"/>
      <c r="M332" s="580"/>
      <c r="N332" s="580"/>
      <c r="O332" s="580"/>
      <c r="P332" s="580"/>
    </row>
    <row r="333" spans="1:16" ht="14.4">
      <c r="A333" s="624"/>
      <c r="B333" s="625"/>
      <c r="C333" s="624"/>
      <c r="D333" s="625"/>
      <c r="E333" s="626"/>
      <c r="F333" s="165"/>
      <c r="G333" s="580"/>
      <c r="H333" s="299"/>
      <c r="I333" s="580"/>
      <c r="J333" s="580"/>
      <c r="K333" s="580"/>
      <c r="L333" s="580"/>
      <c r="M333" s="580"/>
      <c r="N333" s="580"/>
      <c r="O333" s="580"/>
      <c r="P333" s="580"/>
    </row>
    <row r="334" spans="1:16" ht="14.4">
      <c r="A334" s="624"/>
      <c r="B334" s="625"/>
      <c r="C334" s="624"/>
      <c r="D334" s="625"/>
      <c r="E334" s="626"/>
      <c r="F334" s="165"/>
      <c r="G334" s="580"/>
      <c r="H334" s="299"/>
      <c r="I334" s="580"/>
      <c r="J334" s="580"/>
      <c r="K334" s="580"/>
      <c r="L334" s="580"/>
      <c r="M334" s="580"/>
      <c r="N334" s="580"/>
      <c r="O334" s="580"/>
      <c r="P334" s="580"/>
    </row>
    <row r="335" spans="1:16" ht="14.4">
      <c r="A335" s="624"/>
      <c r="B335" s="625"/>
      <c r="C335" s="624"/>
      <c r="D335" s="625"/>
      <c r="E335" s="626"/>
      <c r="F335" s="165"/>
      <c r="G335" s="580"/>
      <c r="H335" s="299"/>
      <c r="I335" s="580"/>
      <c r="J335" s="580"/>
      <c r="K335" s="580"/>
      <c r="L335" s="580"/>
      <c r="M335" s="580"/>
      <c r="N335" s="580"/>
      <c r="O335" s="580"/>
      <c r="P335" s="580"/>
    </row>
    <row r="336" spans="1:16" ht="14.4">
      <c r="A336" s="624"/>
      <c r="B336" s="625"/>
      <c r="C336" s="624"/>
      <c r="D336" s="625"/>
      <c r="E336" s="626"/>
      <c r="F336" s="165"/>
      <c r="G336" s="580"/>
      <c r="H336" s="299"/>
      <c r="I336" s="580"/>
      <c r="J336" s="580"/>
      <c r="K336" s="580"/>
      <c r="L336" s="580"/>
      <c r="M336" s="580"/>
      <c r="N336" s="580"/>
      <c r="O336" s="580"/>
      <c r="P336" s="580"/>
    </row>
    <row r="337" spans="1:16" ht="14.4">
      <c r="A337" s="624"/>
      <c r="B337" s="625"/>
      <c r="C337" s="624"/>
      <c r="D337" s="625"/>
      <c r="E337" s="626"/>
      <c r="F337" s="165"/>
      <c r="G337" s="580"/>
      <c r="H337" s="299"/>
      <c r="I337" s="580"/>
      <c r="J337" s="580"/>
      <c r="K337" s="580"/>
      <c r="L337" s="580"/>
      <c r="M337" s="580"/>
      <c r="N337" s="580"/>
      <c r="O337" s="580"/>
      <c r="P337" s="580"/>
    </row>
    <row r="338" spans="1:16" ht="14.4">
      <c r="A338" s="624"/>
      <c r="B338" s="625"/>
      <c r="C338" s="624"/>
      <c r="D338" s="625"/>
      <c r="E338" s="626"/>
      <c r="F338" s="165"/>
      <c r="G338" s="580"/>
      <c r="H338" s="299"/>
      <c r="I338" s="580"/>
      <c r="J338" s="580"/>
      <c r="K338" s="580"/>
      <c r="L338" s="580"/>
      <c r="M338" s="580"/>
      <c r="N338" s="580"/>
      <c r="O338" s="580"/>
      <c r="P338" s="580"/>
    </row>
    <row r="339" spans="1:16" ht="14.4">
      <c r="A339" s="624"/>
      <c r="B339" s="625"/>
      <c r="C339" s="624"/>
      <c r="D339" s="625"/>
      <c r="E339" s="626"/>
      <c r="F339" s="165"/>
      <c r="G339" s="580"/>
      <c r="H339" s="299"/>
      <c r="I339" s="580"/>
      <c r="J339" s="580"/>
      <c r="K339" s="580"/>
      <c r="L339" s="580"/>
      <c r="M339" s="580"/>
      <c r="N339" s="580"/>
      <c r="O339" s="580"/>
      <c r="P339" s="580"/>
    </row>
    <row r="340" spans="1:16" ht="14.4">
      <c r="A340" s="624"/>
      <c r="B340" s="625"/>
      <c r="C340" s="624"/>
      <c r="D340" s="625"/>
      <c r="E340" s="626"/>
      <c r="F340" s="165"/>
      <c r="G340" s="580"/>
      <c r="H340" s="299"/>
      <c r="I340" s="580"/>
      <c r="J340" s="580"/>
      <c r="K340" s="580"/>
      <c r="L340" s="580"/>
      <c r="M340" s="580"/>
      <c r="N340" s="580"/>
      <c r="O340" s="580"/>
      <c r="P340" s="580"/>
    </row>
    <row r="341" spans="1:16" ht="14.4">
      <c r="A341" s="624"/>
      <c r="B341" s="625"/>
      <c r="C341" s="624"/>
      <c r="D341" s="625"/>
      <c r="E341" s="626"/>
      <c r="F341" s="165"/>
      <c r="G341" s="580"/>
      <c r="H341" s="299"/>
      <c r="I341" s="580"/>
      <c r="J341" s="580"/>
      <c r="K341" s="580"/>
      <c r="L341" s="580"/>
      <c r="M341" s="580"/>
      <c r="N341" s="580"/>
      <c r="O341" s="580"/>
      <c r="P341" s="580"/>
    </row>
    <row r="342" spans="1:16" ht="14.4">
      <c r="A342" s="624"/>
      <c r="B342" s="625"/>
      <c r="C342" s="624"/>
      <c r="D342" s="625"/>
      <c r="E342" s="626"/>
      <c r="F342" s="165"/>
      <c r="G342" s="580"/>
      <c r="H342" s="299"/>
      <c r="I342" s="580"/>
      <c r="J342" s="580"/>
      <c r="K342" s="580"/>
      <c r="L342" s="580"/>
      <c r="M342" s="580"/>
      <c r="N342" s="580"/>
      <c r="O342" s="580"/>
      <c r="P342" s="580"/>
    </row>
    <row r="343" spans="1:16" ht="14.4">
      <c r="A343" s="624"/>
      <c r="B343" s="625"/>
      <c r="C343" s="624"/>
      <c r="D343" s="625"/>
      <c r="E343" s="626"/>
      <c r="F343" s="165"/>
      <c r="G343" s="580"/>
      <c r="H343" s="299"/>
      <c r="I343" s="580"/>
      <c r="J343" s="580"/>
      <c r="K343" s="580"/>
      <c r="L343" s="580"/>
      <c r="M343" s="580"/>
      <c r="N343" s="580"/>
      <c r="O343" s="580"/>
      <c r="P343" s="580"/>
    </row>
    <row r="344" spans="1:16" ht="14.4">
      <c r="A344" s="624"/>
      <c r="B344" s="625"/>
      <c r="C344" s="624"/>
      <c r="D344" s="625"/>
      <c r="E344" s="626"/>
      <c r="F344" s="165"/>
      <c r="G344" s="580"/>
      <c r="H344" s="299"/>
      <c r="I344" s="580"/>
      <c r="J344" s="580"/>
      <c r="K344" s="580"/>
      <c r="L344" s="580"/>
      <c r="M344" s="580"/>
      <c r="N344" s="580"/>
      <c r="O344" s="580"/>
      <c r="P344" s="580"/>
    </row>
    <row r="345" spans="1:16" ht="14.4">
      <c r="A345" s="624"/>
      <c r="B345" s="625"/>
      <c r="C345" s="624"/>
      <c r="D345" s="625"/>
      <c r="E345" s="626"/>
      <c r="F345" s="165"/>
      <c r="G345" s="580"/>
      <c r="H345" s="299"/>
      <c r="I345" s="580"/>
      <c r="J345" s="580"/>
      <c r="K345" s="580"/>
      <c r="L345" s="580"/>
      <c r="M345" s="580"/>
      <c r="N345" s="580"/>
      <c r="O345" s="580"/>
      <c r="P345" s="580"/>
    </row>
    <row r="346" spans="1:16" ht="14.4">
      <c r="A346" s="624"/>
      <c r="B346" s="625"/>
      <c r="C346" s="624"/>
      <c r="D346" s="625"/>
      <c r="E346" s="626"/>
      <c r="F346" s="165"/>
      <c r="G346" s="580"/>
      <c r="H346" s="299"/>
      <c r="I346" s="580"/>
      <c r="J346" s="580"/>
      <c r="K346" s="580"/>
      <c r="L346" s="580"/>
      <c r="M346" s="580"/>
      <c r="N346" s="580"/>
      <c r="O346" s="580"/>
      <c r="P346" s="580"/>
    </row>
    <row r="347" spans="1:16" ht="14.4">
      <c r="A347" s="624"/>
      <c r="B347" s="625"/>
      <c r="C347" s="624"/>
      <c r="D347" s="625"/>
      <c r="E347" s="626"/>
      <c r="F347" s="165"/>
      <c r="G347" s="580"/>
      <c r="H347" s="299"/>
      <c r="I347" s="580"/>
      <c r="J347" s="580"/>
      <c r="K347" s="580"/>
      <c r="L347" s="580"/>
      <c r="M347" s="580"/>
      <c r="N347" s="580"/>
      <c r="O347" s="580"/>
      <c r="P347" s="580"/>
    </row>
    <row r="348" spans="1:16" ht="14.4">
      <c r="A348" s="624"/>
      <c r="B348" s="625"/>
      <c r="C348" s="624"/>
      <c r="D348" s="625"/>
      <c r="E348" s="626"/>
      <c r="F348" s="165"/>
      <c r="G348" s="580"/>
      <c r="H348" s="299"/>
      <c r="I348" s="580"/>
      <c r="J348" s="580"/>
      <c r="K348" s="580"/>
      <c r="L348" s="580"/>
      <c r="M348" s="580"/>
      <c r="N348" s="580"/>
      <c r="O348" s="580"/>
      <c r="P348" s="580"/>
    </row>
    <row r="349" spans="1:16" ht="14.4">
      <c r="A349" s="624"/>
      <c r="B349" s="625"/>
      <c r="C349" s="624"/>
      <c r="D349" s="625"/>
      <c r="E349" s="626"/>
      <c r="F349" s="165"/>
      <c r="G349" s="580"/>
      <c r="H349" s="299"/>
      <c r="I349" s="580"/>
      <c r="J349" s="580"/>
      <c r="K349" s="580"/>
      <c r="L349" s="580"/>
      <c r="M349" s="580"/>
      <c r="N349" s="580"/>
      <c r="O349" s="580"/>
      <c r="P349" s="580"/>
    </row>
    <row r="350" spans="1:16" ht="14.4">
      <c r="A350" s="624"/>
      <c r="B350" s="625"/>
      <c r="C350" s="624"/>
      <c r="D350" s="625"/>
      <c r="E350" s="626"/>
      <c r="F350" s="165"/>
      <c r="G350" s="580"/>
      <c r="H350" s="299"/>
      <c r="I350" s="580"/>
      <c r="J350" s="580"/>
      <c r="K350" s="580"/>
      <c r="L350" s="580"/>
      <c r="M350" s="580"/>
      <c r="N350" s="580"/>
      <c r="O350" s="580"/>
      <c r="P350" s="580"/>
    </row>
    <row r="351" spans="1:16" ht="14.4">
      <c r="A351" s="624"/>
      <c r="B351" s="625"/>
      <c r="C351" s="624"/>
      <c r="D351" s="625"/>
      <c r="E351" s="626"/>
      <c r="F351" s="165"/>
      <c r="G351" s="580"/>
      <c r="H351" s="299"/>
      <c r="I351" s="580"/>
      <c r="J351" s="580"/>
      <c r="K351" s="580"/>
      <c r="L351" s="580"/>
      <c r="M351" s="580"/>
      <c r="N351" s="580"/>
      <c r="O351" s="580"/>
      <c r="P351" s="580"/>
    </row>
    <row r="352" spans="1:16" ht="14.4">
      <c r="A352" s="624"/>
      <c r="B352" s="625"/>
      <c r="C352" s="624"/>
      <c r="D352" s="625"/>
      <c r="E352" s="626"/>
      <c r="F352" s="165"/>
      <c r="G352" s="580"/>
      <c r="H352" s="299"/>
      <c r="I352" s="580"/>
      <c r="J352" s="580"/>
      <c r="K352" s="580"/>
      <c r="L352" s="580"/>
      <c r="M352" s="580"/>
      <c r="N352" s="580"/>
      <c r="O352" s="580"/>
      <c r="P352" s="580"/>
    </row>
    <row r="353" spans="1:16" ht="14.4">
      <c r="A353" s="624"/>
      <c r="B353" s="625"/>
      <c r="C353" s="624"/>
      <c r="D353" s="625"/>
      <c r="E353" s="626"/>
      <c r="F353" s="165"/>
      <c r="G353" s="580"/>
      <c r="H353" s="299"/>
      <c r="I353" s="580"/>
      <c r="J353" s="580"/>
      <c r="K353" s="580"/>
      <c r="L353" s="580"/>
      <c r="M353" s="580"/>
      <c r="N353" s="580"/>
      <c r="O353" s="580"/>
      <c r="P353" s="580"/>
    </row>
    <row r="354" spans="1:16" ht="14.4">
      <c r="A354" s="624"/>
      <c r="B354" s="625"/>
      <c r="C354" s="624"/>
      <c r="D354" s="625"/>
      <c r="E354" s="626"/>
      <c r="F354" s="165"/>
      <c r="G354" s="580"/>
      <c r="H354" s="299"/>
      <c r="I354" s="580"/>
      <c r="J354" s="580"/>
      <c r="K354" s="580"/>
      <c r="L354" s="580"/>
      <c r="M354" s="580"/>
      <c r="N354" s="580"/>
      <c r="O354" s="580"/>
      <c r="P354" s="580"/>
    </row>
    <row r="355" spans="1:16" ht="14.4">
      <c r="A355" s="624"/>
      <c r="B355" s="625"/>
      <c r="C355" s="624"/>
      <c r="D355" s="625"/>
      <c r="E355" s="626"/>
      <c r="F355" s="165"/>
      <c r="G355" s="580"/>
      <c r="H355" s="299"/>
      <c r="I355" s="580"/>
      <c r="J355" s="580"/>
      <c r="K355" s="580"/>
      <c r="L355" s="580"/>
      <c r="M355" s="580"/>
      <c r="N355" s="580"/>
      <c r="O355" s="580"/>
      <c r="P355" s="580"/>
    </row>
    <row r="356" spans="1:16" ht="14.4">
      <c r="A356" s="624"/>
      <c r="B356" s="625"/>
      <c r="C356" s="624"/>
      <c r="D356" s="625"/>
      <c r="E356" s="626"/>
      <c r="F356" s="165"/>
      <c r="G356" s="580"/>
      <c r="H356" s="299"/>
      <c r="I356" s="580"/>
      <c r="J356" s="580"/>
      <c r="K356" s="580"/>
      <c r="L356" s="580"/>
      <c r="M356" s="580"/>
      <c r="N356" s="580"/>
      <c r="O356" s="580"/>
      <c r="P356" s="580"/>
    </row>
    <row r="357" spans="1:16" ht="14.4">
      <c r="A357" s="624"/>
      <c r="B357" s="625"/>
      <c r="C357" s="624"/>
      <c r="D357" s="625"/>
      <c r="E357" s="626"/>
      <c r="F357" s="165"/>
      <c r="G357" s="580"/>
      <c r="H357" s="299"/>
      <c r="I357" s="580"/>
      <c r="J357" s="580"/>
      <c r="K357" s="580"/>
      <c r="L357" s="580"/>
      <c r="M357" s="580"/>
      <c r="N357" s="580"/>
      <c r="O357" s="580"/>
      <c r="P357" s="580"/>
    </row>
    <row r="358" spans="1:16" ht="14.4">
      <c r="A358" s="624"/>
      <c r="B358" s="625"/>
      <c r="C358" s="624"/>
      <c r="D358" s="625"/>
      <c r="E358" s="626"/>
      <c r="F358" s="165"/>
      <c r="G358" s="580"/>
      <c r="H358" s="299"/>
      <c r="I358" s="580"/>
      <c r="J358" s="580"/>
      <c r="K358" s="580"/>
      <c r="L358" s="580"/>
      <c r="M358" s="580"/>
      <c r="N358" s="580"/>
      <c r="O358" s="580"/>
      <c r="P358" s="580"/>
    </row>
    <row r="359" spans="1:16" ht="14.4">
      <c r="A359" s="624"/>
      <c r="B359" s="625"/>
      <c r="C359" s="624"/>
      <c r="D359" s="625"/>
      <c r="E359" s="626"/>
      <c r="F359" s="165"/>
      <c r="G359" s="580"/>
      <c r="H359" s="299"/>
      <c r="I359" s="580"/>
      <c r="J359" s="580"/>
      <c r="K359" s="580"/>
      <c r="L359" s="580"/>
      <c r="M359" s="580"/>
      <c r="N359" s="580"/>
      <c r="O359" s="580"/>
      <c r="P359" s="580"/>
    </row>
    <row r="360" spans="1:16" ht="14.4">
      <c r="A360" s="624"/>
      <c r="B360" s="625"/>
      <c r="C360" s="624"/>
      <c r="D360" s="625"/>
      <c r="E360" s="626"/>
      <c r="F360" s="165"/>
      <c r="G360" s="580"/>
      <c r="H360" s="299"/>
      <c r="I360" s="580"/>
      <c r="J360" s="580"/>
      <c r="K360" s="580"/>
      <c r="L360" s="580"/>
      <c r="M360" s="580"/>
      <c r="N360" s="580"/>
      <c r="O360" s="580"/>
      <c r="P360" s="580"/>
    </row>
    <row r="361" spans="1:16" ht="14.4">
      <c r="A361" s="624"/>
      <c r="B361" s="625"/>
      <c r="C361" s="624"/>
      <c r="D361" s="625"/>
      <c r="E361" s="626"/>
      <c r="F361" s="165"/>
      <c r="G361" s="580"/>
      <c r="H361" s="299"/>
      <c r="I361" s="580"/>
      <c r="J361" s="580"/>
      <c r="K361" s="580"/>
      <c r="L361" s="580"/>
      <c r="M361" s="580"/>
      <c r="N361" s="580"/>
      <c r="O361" s="580"/>
      <c r="P361" s="580"/>
    </row>
    <row r="362" spans="1:16" ht="14.4">
      <c r="A362" s="624"/>
      <c r="B362" s="625"/>
      <c r="C362" s="624"/>
      <c r="D362" s="625"/>
      <c r="E362" s="626"/>
      <c r="F362" s="165"/>
      <c r="G362" s="580"/>
      <c r="H362" s="299"/>
      <c r="I362" s="580"/>
      <c r="J362" s="580"/>
      <c r="K362" s="580"/>
      <c r="L362" s="580"/>
      <c r="M362" s="580"/>
      <c r="N362" s="580"/>
      <c r="O362" s="580"/>
      <c r="P362" s="580"/>
    </row>
    <row r="363" spans="1:16" ht="14.4">
      <c r="A363" s="624"/>
      <c r="B363" s="625"/>
      <c r="C363" s="624"/>
      <c r="D363" s="625"/>
      <c r="E363" s="626"/>
      <c r="F363" s="165"/>
      <c r="G363" s="580"/>
      <c r="H363" s="299"/>
      <c r="I363" s="580"/>
      <c r="J363" s="580"/>
      <c r="K363" s="580"/>
      <c r="L363" s="580"/>
      <c r="M363" s="580"/>
      <c r="N363" s="580"/>
      <c r="O363" s="580"/>
      <c r="P363" s="580"/>
    </row>
    <row r="364" spans="1:16" ht="14.4">
      <c r="A364" s="624"/>
      <c r="B364" s="625"/>
      <c r="C364" s="624"/>
      <c r="D364" s="625"/>
      <c r="E364" s="626"/>
      <c r="F364" s="165"/>
      <c r="G364" s="580"/>
      <c r="H364" s="299"/>
      <c r="I364" s="580"/>
      <c r="J364" s="580"/>
      <c r="K364" s="580"/>
      <c r="L364" s="580"/>
      <c r="M364" s="580"/>
      <c r="N364" s="580"/>
      <c r="O364" s="580"/>
      <c r="P364" s="580"/>
    </row>
    <row r="365" spans="1:16" ht="14.4">
      <c r="A365" s="624"/>
      <c r="B365" s="625"/>
      <c r="C365" s="624"/>
      <c r="D365" s="625"/>
      <c r="E365" s="626"/>
      <c r="F365" s="165"/>
      <c r="G365" s="580"/>
      <c r="H365" s="299"/>
      <c r="I365" s="580"/>
      <c r="J365" s="580"/>
      <c r="K365" s="580"/>
      <c r="L365" s="580"/>
      <c r="M365" s="580"/>
      <c r="N365" s="580"/>
      <c r="O365" s="580"/>
      <c r="P365" s="580"/>
    </row>
    <row r="366" spans="1:16" ht="14.4">
      <c r="A366" s="624"/>
      <c r="B366" s="625"/>
      <c r="C366" s="624"/>
      <c r="D366" s="625"/>
      <c r="E366" s="626"/>
      <c r="F366" s="165"/>
      <c r="G366" s="580"/>
      <c r="H366" s="299"/>
      <c r="I366" s="580"/>
      <c r="J366" s="580"/>
      <c r="K366" s="580"/>
      <c r="L366" s="580"/>
      <c r="M366" s="580"/>
      <c r="N366" s="580"/>
      <c r="O366" s="580"/>
      <c r="P366" s="580"/>
    </row>
    <row r="367" spans="1:16" ht="14.4">
      <c r="A367" s="624"/>
      <c r="B367" s="625"/>
      <c r="C367" s="624"/>
      <c r="D367" s="625"/>
      <c r="E367" s="626"/>
      <c r="F367" s="165"/>
      <c r="G367" s="580"/>
      <c r="H367" s="299"/>
      <c r="I367" s="580"/>
      <c r="J367" s="580"/>
      <c r="K367" s="580"/>
      <c r="L367" s="580"/>
      <c r="M367" s="580"/>
      <c r="N367" s="580"/>
      <c r="O367" s="580"/>
      <c r="P367" s="580"/>
    </row>
    <row r="368" spans="1:16" ht="14.4">
      <c r="A368" s="624"/>
      <c r="B368" s="625"/>
      <c r="C368" s="624"/>
      <c r="D368" s="625"/>
      <c r="E368" s="626"/>
      <c r="F368" s="165"/>
      <c r="G368" s="580"/>
      <c r="H368" s="299"/>
      <c r="I368" s="580"/>
      <c r="J368" s="580"/>
      <c r="K368" s="580"/>
      <c r="L368" s="580"/>
      <c r="M368" s="580"/>
      <c r="N368" s="580"/>
      <c r="O368" s="580"/>
      <c r="P368" s="580"/>
    </row>
    <row r="369" spans="1:16" ht="14.4">
      <c r="A369" s="624"/>
      <c r="B369" s="625"/>
      <c r="C369" s="624"/>
      <c r="D369" s="625"/>
      <c r="E369" s="626"/>
      <c r="F369" s="165"/>
      <c r="G369" s="580"/>
      <c r="H369" s="299"/>
      <c r="I369" s="580"/>
      <c r="J369" s="580"/>
      <c r="K369" s="580"/>
      <c r="L369" s="580"/>
      <c r="M369" s="580"/>
      <c r="N369" s="580"/>
      <c r="O369" s="580"/>
      <c r="P369" s="580"/>
    </row>
    <row r="370" spans="1:16" ht="14.4">
      <c r="A370" s="624"/>
      <c r="B370" s="625"/>
      <c r="C370" s="624"/>
      <c r="D370" s="625"/>
      <c r="E370" s="626"/>
      <c r="F370" s="165"/>
      <c r="G370" s="580"/>
      <c r="H370" s="299"/>
      <c r="I370" s="580"/>
      <c r="J370" s="580"/>
      <c r="K370" s="580"/>
      <c r="L370" s="580"/>
      <c r="M370" s="580"/>
      <c r="N370" s="580"/>
      <c r="O370" s="580"/>
      <c r="P370" s="580"/>
    </row>
    <row r="371" spans="1:16" ht="14.4">
      <c r="A371" s="624"/>
      <c r="B371" s="625"/>
      <c r="C371" s="624"/>
      <c r="D371" s="625"/>
      <c r="E371" s="626"/>
      <c r="F371" s="165"/>
      <c r="G371" s="580"/>
      <c r="H371" s="299"/>
      <c r="I371" s="580"/>
      <c r="J371" s="580"/>
      <c r="K371" s="580"/>
      <c r="L371" s="580"/>
      <c r="M371" s="580"/>
      <c r="N371" s="580"/>
      <c r="O371" s="580"/>
      <c r="P371" s="580"/>
    </row>
    <row r="372" spans="1:16" ht="14.4">
      <c r="A372" s="624"/>
      <c r="B372" s="625"/>
      <c r="C372" s="624"/>
      <c r="D372" s="625"/>
      <c r="E372" s="626"/>
      <c r="F372" s="165"/>
      <c r="G372" s="580"/>
      <c r="H372" s="299"/>
      <c r="I372" s="580"/>
      <c r="J372" s="580"/>
      <c r="K372" s="580"/>
      <c r="L372" s="580"/>
      <c r="M372" s="580"/>
      <c r="N372" s="580"/>
      <c r="O372" s="580"/>
      <c r="P372" s="580"/>
    </row>
    <row r="373" spans="1:16" ht="14.4">
      <c r="A373" s="624"/>
      <c r="B373" s="625"/>
      <c r="C373" s="624"/>
      <c r="D373" s="625"/>
      <c r="E373" s="626"/>
      <c r="F373" s="165"/>
      <c r="G373" s="580"/>
      <c r="H373" s="299"/>
      <c r="I373" s="580"/>
      <c r="J373" s="580"/>
      <c r="K373" s="580"/>
      <c r="L373" s="580"/>
      <c r="M373" s="580"/>
      <c r="N373" s="580"/>
      <c r="O373" s="580"/>
      <c r="P373" s="580"/>
    </row>
    <row r="374" spans="1:16" ht="14.4">
      <c r="A374" s="624"/>
      <c r="B374" s="625"/>
      <c r="C374" s="624"/>
      <c r="D374" s="625"/>
      <c r="E374" s="626"/>
      <c r="F374" s="165"/>
      <c r="G374" s="580"/>
      <c r="H374" s="299"/>
      <c r="I374" s="580"/>
      <c r="J374" s="580"/>
      <c r="K374" s="580"/>
      <c r="L374" s="580"/>
      <c r="M374" s="580"/>
      <c r="N374" s="580"/>
      <c r="O374" s="580"/>
      <c r="P374" s="580"/>
    </row>
    <row r="375" spans="1:16" ht="14.4">
      <c r="A375" s="624"/>
      <c r="B375" s="625"/>
      <c r="C375" s="624"/>
      <c r="D375" s="625"/>
      <c r="E375" s="626"/>
      <c r="F375" s="165"/>
      <c r="G375" s="580"/>
      <c r="H375" s="299"/>
      <c r="I375" s="580"/>
      <c r="J375" s="580"/>
      <c r="K375" s="580"/>
      <c r="L375" s="580"/>
      <c r="M375" s="580"/>
      <c r="N375" s="580"/>
      <c r="O375" s="580"/>
      <c r="P375" s="580"/>
    </row>
    <row r="376" spans="1:16" ht="14.4">
      <c r="A376" s="624"/>
      <c r="B376" s="625"/>
      <c r="C376" s="624"/>
      <c r="D376" s="625"/>
      <c r="E376" s="626"/>
      <c r="F376" s="165"/>
      <c r="G376" s="580"/>
      <c r="H376" s="299"/>
      <c r="I376" s="580"/>
      <c r="J376" s="580"/>
      <c r="K376" s="580"/>
      <c r="L376" s="580"/>
      <c r="M376" s="580"/>
      <c r="N376" s="580"/>
      <c r="O376" s="580"/>
      <c r="P376" s="580"/>
    </row>
    <row r="377" spans="1:16" ht="14.4">
      <c r="A377" s="624"/>
      <c r="B377" s="625"/>
      <c r="C377" s="624"/>
      <c r="D377" s="625"/>
      <c r="E377" s="626"/>
      <c r="F377" s="165"/>
      <c r="G377" s="580"/>
      <c r="H377" s="299"/>
      <c r="I377" s="580"/>
      <c r="J377" s="580"/>
      <c r="K377" s="580"/>
      <c r="L377" s="580"/>
      <c r="M377" s="580"/>
      <c r="N377" s="580"/>
      <c r="O377" s="580"/>
      <c r="P377" s="580"/>
    </row>
    <row r="378" spans="1:16" ht="14.4">
      <c r="A378" s="624"/>
      <c r="B378" s="625"/>
      <c r="C378" s="624"/>
      <c r="D378" s="625"/>
      <c r="E378" s="626"/>
      <c r="F378" s="165"/>
      <c r="G378" s="580"/>
      <c r="H378" s="299"/>
      <c r="I378" s="580"/>
      <c r="J378" s="580"/>
      <c r="K378" s="580"/>
      <c r="L378" s="580"/>
      <c r="M378" s="580"/>
      <c r="N378" s="580"/>
      <c r="O378" s="580"/>
      <c r="P378" s="580"/>
    </row>
    <row r="379" spans="1:16" ht="14.4">
      <c r="A379" s="624"/>
      <c r="B379" s="625"/>
      <c r="C379" s="624"/>
      <c r="D379" s="625"/>
      <c r="E379" s="626"/>
      <c r="F379" s="165"/>
      <c r="G379" s="580"/>
      <c r="H379" s="299"/>
      <c r="I379" s="580"/>
      <c r="J379" s="580"/>
      <c r="K379" s="580"/>
      <c r="L379" s="580"/>
      <c r="M379" s="580"/>
      <c r="N379" s="580"/>
      <c r="O379" s="580"/>
      <c r="P379" s="580"/>
    </row>
    <row r="380" spans="1:16" ht="14.4">
      <c r="A380" s="624"/>
      <c r="B380" s="625"/>
      <c r="C380" s="624"/>
      <c r="D380" s="625"/>
      <c r="E380" s="626"/>
      <c r="F380" s="165"/>
      <c r="G380" s="580"/>
      <c r="H380" s="299"/>
      <c r="I380" s="580"/>
      <c r="J380" s="580"/>
      <c r="K380" s="580"/>
      <c r="L380" s="580"/>
      <c r="M380" s="580"/>
      <c r="N380" s="580"/>
      <c r="O380" s="580"/>
      <c r="P380" s="580"/>
    </row>
    <row r="381" spans="1:16" ht="14.4">
      <c r="A381" s="624"/>
      <c r="B381" s="625"/>
      <c r="C381" s="624"/>
      <c r="D381" s="625"/>
      <c r="E381" s="626"/>
      <c r="F381" s="165"/>
      <c r="G381" s="580"/>
      <c r="H381" s="299"/>
      <c r="I381" s="580"/>
      <c r="J381" s="580"/>
      <c r="K381" s="580"/>
      <c r="L381" s="580"/>
      <c r="M381" s="580"/>
      <c r="N381" s="580"/>
      <c r="O381" s="580"/>
      <c r="P381" s="580"/>
    </row>
    <row r="382" spans="1:16" ht="14.4">
      <c r="A382" s="624"/>
      <c r="B382" s="625"/>
      <c r="C382" s="624"/>
      <c r="D382" s="625"/>
      <c r="E382" s="626"/>
      <c r="F382" s="165"/>
      <c r="G382" s="580"/>
      <c r="H382" s="299"/>
      <c r="I382" s="580"/>
      <c r="J382" s="580"/>
      <c r="K382" s="580"/>
      <c r="L382" s="580"/>
      <c r="M382" s="580"/>
      <c r="N382" s="580"/>
      <c r="O382" s="580"/>
      <c r="P382" s="580"/>
    </row>
    <row r="383" spans="1:16" ht="14.4">
      <c r="A383" s="624"/>
      <c r="B383" s="625"/>
      <c r="C383" s="624"/>
      <c r="D383" s="625"/>
      <c r="E383" s="626"/>
      <c r="F383" s="165"/>
      <c r="G383" s="580"/>
      <c r="H383" s="299"/>
      <c r="I383" s="580"/>
      <c r="J383" s="580"/>
      <c r="K383" s="580"/>
      <c r="L383" s="580"/>
      <c r="M383" s="580"/>
      <c r="N383" s="580"/>
      <c r="O383" s="580"/>
      <c r="P383" s="580"/>
    </row>
    <row r="384" spans="1:16" ht="14.4">
      <c r="A384" s="624"/>
      <c r="B384" s="625"/>
      <c r="C384" s="624"/>
      <c r="D384" s="625"/>
      <c r="E384" s="626"/>
      <c r="F384" s="165"/>
      <c r="G384" s="580"/>
      <c r="H384" s="299"/>
      <c r="I384" s="580"/>
      <c r="J384" s="580"/>
      <c r="K384" s="580"/>
      <c r="L384" s="580"/>
      <c r="M384" s="580"/>
      <c r="N384" s="580"/>
      <c r="O384" s="580"/>
      <c r="P384" s="580"/>
    </row>
    <row r="385" spans="1:16" ht="14.4">
      <c r="A385" s="624"/>
      <c r="B385" s="625"/>
      <c r="C385" s="624"/>
      <c r="D385" s="625"/>
      <c r="E385" s="626"/>
      <c r="F385" s="165"/>
      <c r="G385" s="580"/>
      <c r="H385" s="299"/>
      <c r="I385" s="580"/>
      <c r="J385" s="580"/>
      <c r="K385" s="580"/>
      <c r="L385" s="580"/>
      <c r="M385" s="580"/>
      <c r="N385" s="580"/>
      <c r="O385" s="580"/>
      <c r="P385" s="580"/>
    </row>
    <row r="386" spans="1:16" ht="14.4">
      <c r="A386" s="624"/>
      <c r="B386" s="625"/>
      <c r="C386" s="624"/>
      <c r="D386" s="625"/>
      <c r="E386" s="626"/>
      <c r="F386" s="165"/>
      <c r="G386" s="580"/>
      <c r="H386" s="299"/>
      <c r="I386" s="580"/>
      <c r="J386" s="580"/>
      <c r="K386" s="580"/>
      <c r="L386" s="580"/>
      <c r="M386" s="580"/>
      <c r="N386" s="580"/>
      <c r="O386" s="580"/>
      <c r="P386" s="580"/>
    </row>
    <row r="387" spans="1:16" ht="14.4">
      <c r="A387" s="624"/>
      <c r="B387" s="625"/>
      <c r="C387" s="624"/>
      <c r="D387" s="625"/>
      <c r="E387" s="626"/>
      <c r="F387" s="165"/>
      <c r="G387" s="580"/>
      <c r="H387" s="299"/>
      <c r="I387" s="580"/>
      <c r="J387" s="580"/>
      <c r="K387" s="580"/>
      <c r="L387" s="580"/>
      <c r="M387" s="580"/>
      <c r="N387" s="580"/>
      <c r="O387" s="580"/>
      <c r="P387" s="580"/>
    </row>
    <row r="388" spans="1:16" ht="14.4">
      <c r="A388" s="624"/>
      <c r="B388" s="625"/>
      <c r="C388" s="624"/>
      <c r="D388" s="625"/>
      <c r="E388" s="626"/>
      <c r="F388" s="165"/>
      <c r="G388" s="580"/>
      <c r="H388" s="299"/>
      <c r="I388" s="580"/>
      <c r="J388" s="580"/>
      <c r="K388" s="580"/>
      <c r="L388" s="580"/>
      <c r="M388" s="580"/>
      <c r="N388" s="580"/>
      <c r="O388" s="580"/>
      <c r="P388" s="580"/>
    </row>
    <row r="389" spans="1:16" ht="14.4">
      <c r="A389" s="624"/>
      <c r="B389" s="625"/>
      <c r="C389" s="624"/>
      <c r="D389" s="625"/>
      <c r="E389" s="626"/>
      <c r="F389" s="165"/>
      <c r="G389" s="580"/>
      <c r="H389" s="299"/>
      <c r="I389" s="580"/>
      <c r="J389" s="580"/>
      <c r="K389" s="580"/>
      <c r="L389" s="580"/>
      <c r="M389" s="580"/>
      <c r="N389" s="580"/>
      <c r="O389" s="580"/>
      <c r="P389" s="580"/>
    </row>
    <row r="390" spans="1:16" ht="14.4">
      <c r="A390" s="624"/>
      <c r="B390" s="625"/>
      <c r="C390" s="624"/>
      <c r="D390" s="625"/>
      <c r="E390" s="626"/>
      <c r="F390" s="165"/>
      <c r="G390" s="580"/>
      <c r="H390" s="299"/>
      <c r="I390" s="580"/>
      <c r="J390" s="580"/>
      <c r="K390" s="580"/>
      <c r="L390" s="580"/>
      <c r="M390" s="580"/>
      <c r="N390" s="580"/>
      <c r="O390" s="580"/>
      <c r="P390" s="580"/>
    </row>
    <row r="391" spans="1:16" ht="14.4">
      <c r="A391" s="624"/>
      <c r="B391" s="625"/>
      <c r="C391" s="624"/>
      <c r="D391" s="625"/>
      <c r="E391" s="626"/>
      <c r="F391" s="165"/>
      <c r="G391" s="580"/>
      <c r="H391" s="299"/>
      <c r="I391" s="580"/>
      <c r="J391" s="580"/>
      <c r="K391" s="580"/>
      <c r="L391" s="580"/>
      <c r="M391" s="580"/>
      <c r="N391" s="580"/>
      <c r="O391" s="580"/>
      <c r="P391" s="580"/>
    </row>
    <row r="392" spans="1:16" ht="14.4">
      <c r="A392" s="624"/>
      <c r="B392" s="625"/>
      <c r="C392" s="624"/>
      <c r="D392" s="625"/>
      <c r="E392" s="626"/>
      <c r="F392" s="165"/>
      <c r="G392" s="580"/>
      <c r="H392" s="299"/>
      <c r="I392" s="580"/>
      <c r="J392" s="580"/>
      <c r="K392" s="580"/>
      <c r="L392" s="580"/>
      <c r="M392" s="580"/>
      <c r="N392" s="580"/>
      <c r="O392" s="580"/>
      <c r="P392" s="580"/>
    </row>
    <row r="393" spans="1:16" ht="14.4">
      <c r="A393" s="624"/>
      <c r="B393" s="625"/>
      <c r="C393" s="624"/>
      <c r="D393" s="625"/>
      <c r="E393" s="626"/>
      <c r="F393" s="165"/>
      <c r="G393" s="580"/>
      <c r="H393" s="299"/>
      <c r="I393" s="580"/>
      <c r="J393" s="580"/>
      <c r="K393" s="580"/>
      <c r="L393" s="580"/>
      <c r="M393" s="580"/>
      <c r="N393" s="580"/>
      <c r="O393" s="580"/>
      <c r="P393" s="580"/>
    </row>
    <row r="394" spans="1:16" ht="14.4">
      <c r="A394" s="624"/>
      <c r="B394" s="625"/>
      <c r="C394" s="624"/>
      <c r="D394" s="625"/>
      <c r="E394" s="626"/>
      <c r="F394" s="165"/>
      <c r="G394" s="580"/>
      <c r="H394" s="299"/>
      <c r="I394" s="580"/>
      <c r="J394" s="580"/>
      <c r="K394" s="580"/>
      <c r="L394" s="580"/>
      <c r="M394" s="580"/>
      <c r="N394" s="580"/>
      <c r="O394" s="580"/>
      <c r="P394" s="580"/>
    </row>
    <row r="395" spans="1:16" ht="14.4">
      <c r="A395" s="624"/>
      <c r="B395" s="625"/>
      <c r="C395" s="624"/>
      <c r="D395" s="625"/>
      <c r="E395" s="626"/>
      <c r="F395" s="165"/>
      <c r="G395" s="580"/>
      <c r="H395" s="299"/>
      <c r="I395" s="580"/>
      <c r="J395" s="580"/>
      <c r="K395" s="580"/>
      <c r="L395" s="580"/>
      <c r="M395" s="580"/>
      <c r="N395" s="580"/>
      <c r="O395" s="580"/>
      <c r="P395" s="580"/>
    </row>
    <row r="396" spans="1:16" ht="14.4">
      <c r="A396" s="624"/>
      <c r="B396" s="625"/>
      <c r="C396" s="624"/>
      <c r="D396" s="625"/>
      <c r="E396" s="626"/>
      <c r="F396" s="165"/>
      <c r="G396" s="580"/>
      <c r="H396" s="299"/>
      <c r="I396" s="580"/>
      <c r="J396" s="580"/>
      <c r="K396" s="580"/>
      <c r="L396" s="580"/>
      <c r="M396" s="580"/>
      <c r="N396" s="580"/>
      <c r="O396" s="580"/>
      <c r="P396" s="580"/>
    </row>
    <row r="397" spans="1:16" ht="14.4">
      <c r="A397" s="624"/>
      <c r="B397" s="625"/>
      <c r="C397" s="624"/>
      <c r="D397" s="625"/>
      <c r="E397" s="626"/>
      <c r="F397" s="165"/>
      <c r="G397" s="580"/>
      <c r="H397" s="299"/>
      <c r="I397" s="580"/>
      <c r="J397" s="580"/>
      <c r="K397" s="580"/>
      <c r="L397" s="580"/>
      <c r="M397" s="580"/>
      <c r="N397" s="580"/>
      <c r="O397" s="580"/>
      <c r="P397" s="580"/>
    </row>
    <row r="398" spans="1:16" ht="14.4">
      <c r="A398" s="624"/>
      <c r="B398" s="625"/>
      <c r="C398" s="624"/>
      <c r="D398" s="625"/>
      <c r="E398" s="626"/>
      <c r="F398" s="165"/>
      <c r="G398" s="580"/>
      <c r="H398" s="299"/>
      <c r="I398" s="580"/>
      <c r="J398" s="580"/>
      <c r="K398" s="580"/>
      <c r="L398" s="580"/>
      <c r="M398" s="580"/>
      <c r="N398" s="580"/>
      <c r="O398" s="580"/>
      <c r="P398" s="580"/>
    </row>
    <row r="399" spans="1:16" ht="14.4">
      <c r="A399" s="624"/>
      <c r="B399" s="625"/>
      <c r="C399" s="624"/>
      <c r="D399" s="625"/>
      <c r="E399" s="626"/>
      <c r="F399" s="165"/>
      <c r="G399" s="580"/>
      <c r="H399" s="299"/>
      <c r="I399" s="580"/>
      <c r="J399" s="580"/>
      <c r="K399" s="580"/>
      <c r="L399" s="580"/>
      <c r="M399" s="580"/>
      <c r="N399" s="580"/>
      <c r="O399" s="580"/>
      <c r="P399" s="580"/>
    </row>
    <row r="400" spans="1:16" ht="14.4">
      <c r="A400" s="624"/>
      <c r="B400" s="625"/>
      <c r="C400" s="624"/>
      <c r="D400" s="625"/>
      <c r="E400" s="626"/>
      <c r="F400" s="165"/>
      <c r="G400" s="580"/>
      <c r="H400" s="299"/>
      <c r="I400" s="580"/>
      <c r="J400" s="580"/>
      <c r="K400" s="580"/>
      <c r="L400" s="580"/>
      <c r="M400" s="580"/>
      <c r="N400" s="580"/>
      <c r="O400" s="580"/>
      <c r="P400" s="580"/>
    </row>
    <row r="401" spans="1:16" ht="14.4">
      <c r="A401" s="624"/>
      <c r="B401" s="625"/>
      <c r="C401" s="624"/>
      <c r="D401" s="625"/>
      <c r="E401" s="626"/>
      <c r="F401" s="165"/>
      <c r="G401" s="580"/>
      <c r="H401" s="299"/>
      <c r="I401" s="580"/>
      <c r="J401" s="580"/>
      <c r="K401" s="580"/>
      <c r="L401" s="580"/>
      <c r="M401" s="580"/>
      <c r="N401" s="580"/>
      <c r="O401" s="580"/>
      <c r="P401" s="580"/>
    </row>
    <row r="402" spans="1:16" ht="14.4">
      <c r="A402" s="624"/>
      <c r="B402" s="625"/>
      <c r="C402" s="624"/>
      <c r="D402" s="625"/>
      <c r="E402" s="626"/>
      <c r="F402" s="165"/>
      <c r="G402" s="580"/>
      <c r="H402" s="299"/>
      <c r="I402" s="580"/>
      <c r="J402" s="580"/>
      <c r="K402" s="580"/>
      <c r="L402" s="580"/>
      <c r="M402" s="580"/>
      <c r="N402" s="580"/>
      <c r="O402" s="580"/>
      <c r="P402" s="580"/>
    </row>
    <row r="403" spans="1:16" ht="14.4">
      <c r="A403" s="624"/>
      <c r="B403" s="625"/>
      <c r="C403" s="624"/>
      <c r="D403" s="625"/>
      <c r="E403" s="626"/>
      <c r="F403" s="165"/>
      <c r="G403" s="580"/>
      <c r="H403" s="299"/>
      <c r="I403" s="580"/>
      <c r="J403" s="580"/>
      <c r="K403" s="580"/>
      <c r="L403" s="580"/>
      <c r="M403" s="580"/>
      <c r="N403" s="580"/>
      <c r="O403" s="580"/>
      <c r="P403" s="580"/>
    </row>
    <row r="404" spans="1:16" ht="14.4">
      <c r="A404" s="624"/>
      <c r="B404" s="625"/>
      <c r="C404" s="624"/>
      <c r="D404" s="625"/>
      <c r="E404" s="626"/>
      <c r="F404" s="165"/>
      <c r="G404" s="580"/>
      <c r="H404" s="299"/>
      <c r="I404" s="580"/>
      <c r="J404" s="580"/>
      <c r="K404" s="580"/>
      <c r="L404" s="580"/>
      <c r="M404" s="580"/>
      <c r="N404" s="580"/>
      <c r="O404" s="580"/>
      <c r="P404" s="580"/>
    </row>
    <row r="405" spans="1:16" ht="14.4">
      <c r="A405" s="624"/>
      <c r="B405" s="625"/>
      <c r="C405" s="624"/>
      <c r="D405" s="625"/>
      <c r="E405" s="626"/>
      <c r="F405" s="165"/>
      <c r="G405" s="580"/>
      <c r="H405" s="299"/>
      <c r="I405" s="580"/>
      <c r="J405" s="580"/>
      <c r="K405" s="580"/>
      <c r="L405" s="580"/>
      <c r="M405" s="580"/>
      <c r="N405" s="580"/>
      <c r="O405" s="580"/>
      <c r="P405" s="580"/>
    </row>
    <row r="406" spans="1:16" ht="14.4">
      <c r="A406" s="624"/>
      <c r="B406" s="625"/>
      <c r="C406" s="624"/>
      <c r="D406" s="625"/>
      <c r="E406" s="626"/>
      <c r="F406" s="165"/>
      <c r="G406" s="580"/>
      <c r="H406" s="299"/>
      <c r="I406" s="580"/>
      <c r="J406" s="580"/>
      <c r="K406" s="580"/>
      <c r="L406" s="580"/>
      <c r="M406" s="580"/>
      <c r="N406" s="580"/>
      <c r="O406" s="580"/>
      <c r="P406" s="580"/>
    </row>
    <row r="407" spans="1:16" ht="14.4">
      <c r="A407" s="624"/>
      <c r="B407" s="625"/>
      <c r="C407" s="624"/>
      <c r="D407" s="625"/>
      <c r="E407" s="626"/>
      <c r="F407" s="165"/>
      <c r="G407" s="580"/>
      <c r="H407" s="299"/>
      <c r="I407" s="580"/>
      <c r="J407" s="580"/>
      <c r="K407" s="580"/>
      <c r="L407" s="580"/>
      <c r="M407" s="580"/>
      <c r="N407" s="580"/>
      <c r="O407" s="580"/>
      <c r="P407" s="580"/>
    </row>
    <row r="408" spans="1:16" ht="14.4">
      <c r="A408" s="624"/>
      <c r="B408" s="625"/>
      <c r="C408" s="624"/>
      <c r="D408" s="625"/>
      <c r="E408" s="626"/>
      <c r="F408" s="165"/>
      <c r="G408" s="580"/>
      <c r="H408" s="299"/>
      <c r="I408" s="580"/>
      <c r="J408" s="580"/>
      <c r="K408" s="580"/>
      <c r="L408" s="580"/>
      <c r="M408" s="580"/>
      <c r="N408" s="580"/>
      <c r="O408" s="580"/>
      <c r="P408" s="580"/>
    </row>
    <row r="409" spans="1:16" ht="14.4">
      <c r="A409" s="624"/>
      <c r="B409" s="625"/>
      <c r="C409" s="624"/>
      <c r="D409" s="625"/>
      <c r="E409" s="626"/>
      <c r="F409" s="165"/>
      <c r="G409" s="580"/>
      <c r="H409" s="299"/>
      <c r="I409" s="580"/>
      <c r="J409" s="580"/>
      <c r="K409" s="580"/>
      <c r="L409" s="580"/>
      <c r="M409" s="580"/>
      <c r="N409" s="580"/>
      <c r="O409" s="580"/>
      <c r="P409" s="580"/>
    </row>
    <row r="410" spans="1:16" ht="14.4">
      <c r="A410" s="624"/>
      <c r="B410" s="625"/>
      <c r="C410" s="624"/>
      <c r="D410" s="625"/>
      <c r="E410" s="626"/>
      <c r="F410" s="165"/>
      <c r="G410" s="580"/>
      <c r="H410" s="299"/>
      <c r="I410" s="580"/>
      <c r="J410" s="580"/>
      <c r="K410" s="580"/>
      <c r="L410" s="580"/>
      <c r="M410" s="580"/>
      <c r="N410" s="580"/>
      <c r="O410" s="580"/>
      <c r="P410" s="580"/>
    </row>
    <row r="411" spans="1:16" ht="14.4">
      <c r="A411" s="624"/>
      <c r="B411" s="625"/>
      <c r="C411" s="624"/>
      <c r="D411" s="625"/>
      <c r="E411" s="626"/>
      <c r="F411" s="165"/>
      <c r="G411" s="580"/>
      <c r="H411" s="299"/>
      <c r="I411" s="580"/>
      <c r="J411" s="580"/>
      <c r="K411" s="580"/>
      <c r="L411" s="580"/>
      <c r="M411" s="580"/>
      <c r="N411" s="580"/>
      <c r="O411" s="580"/>
      <c r="P411" s="580"/>
    </row>
    <row r="412" spans="1:16" ht="14.4">
      <c r="A412" s="624"/>
      <c r="B412" s="625"/>
      <c r="C412" s="624"/>
      <c r="D412" s="625"/>
      <c r="E412" s="626"/>
      <c r="F412" s="165"/>
      <c r="G412" s="580"/>
      <c r="H412" s="299"/>
      <c r="I412" s="580"/>
      <c r="J412" s="580"/>
      <c r="K412" s="580"/>
      <c r="L412" s="580"/>
      <c r="M412" s="580"/>
      <c r="N412" s="580"/>
      <c r="O412" s="580"/>
      <c r="P412" s="580"/>
    </row>
    <row r="413" spans="1:16" ht="14.4">
      <c r="A413" s="624"/>
      <c r="B413" s="625"/>
      <c r="C413" s="624"/>
      <c r="D413" s="625"/>
      <c r="E413" s="626"/>
      <c r="F413" s="165"/>
      <c r="G413" s="580"/>
      <c r="H413" s="299"/>
      <c r="I413" s="580"/>
      <c r="J413" s="580"/>
      <c r="K413" s="580"/>
      <c r="L413" s="580"/>
      <c r="M413" s="580"/>
      <c r="N413" s="580"/>
      <c r="O413" s="580"/>
      <c r="P413" s="580"/>
    </row>
    <row r="414" spans="1:16" ht="14.4">
      <c r="A414" s="624"/>
      <c r="B414" s="625"/>
      <c r="C414" s="624"/>
      <c r="D414" s="625"/>
      <c r="E414" s="626"/>
      <c r="F414" s="165"/>
      <c r="G414" s="580"/>
      <c r="H414" s="299"/>
      <c r="I414" s="580"/>
      <c r="J414" s="580"/>
      <c r="K414" s="580"/>
      <c r="L414" s="580"/>
      <c r="M414" s="580"/>
      <c r="N414" s="580"/>
      <c r="O414" s="580"/>
      <c r="P414" s="580"/>
    </row>
    <row r="415" spans="1:16" ht="14.4">
      <c r="A415" s="624"/>
      <c r="B415" s="625"/>
      <c r="C415" s="624"/>
      <c r="D415" s="625"/>
      <c r="E415" s="626"/>
      <c r="F415" s="165"/>
      <c r="G415" s="580"/>
      <c r="H415" s="299"/>
      <c r="I415" s="580"/>
      <c r="J415" s="580"/>
      <c r="K415" s="580"/>
      <c r="L415" s="580"/>
      <c r="M415" s="580"/>
      <c r="N415" s="580"/>
      <c r="O415" s="580"/>
      <c r="P415" s="580"/>
    </row>
    <row r="416" spans="1:16" ht="14.4">
      <c r="A416" s="624"/>
      <c r="B416" s="625"/>
      <c r="C416" s="624"/>
      <c r="D416" s="625"/>
      <c r="E416" s="626"/>
      <c r="F416" s="165"/>
      <c r="G416" s="580"/>
      <c r="H416" s="299"/>
      <c r="I416" s="580"/>
      <c r="J416" s="580"/>
      <c r="K416" s="580"/>
      <c r="L416" s="580"/>
      <c r="M416" s="580"/>
      <c r="N416" s="580"/>
      <c r="O416" s="580"/>
      <c r="P416" s="580"/>
    </row>
    <row r="417" spans="1:16" ht="14.4">
      <c r="A417" s="624"/>
      <c r="B417" s="625"/>
      <c r="C417" s="624"/>
      <c r="D417" s="625"/>
      <c r="E417" s="626"/>
      <c r="F417" s="165"/>
      <c r="G417" s="580"/>
      <c r="H417" s="299"/>
      <c r="I417" s="580"/>
      <c r="J417" s="580"/>
      <c r="K417" s="580"/>
      <c r="L417" s="580"/>
      <c r="M417" s="580"/>
      <c r="N417" s="580"/>
      <c r="O417" s="580"/>
      <c r="P417" s="580"/>
    </row>
    <row r="418" spans="1:16" ht="14.4">
      <c r="A418" s="624"/>
      <c r="B418" s="625"/>
      <c r="C418" s="624"/>
      <c r="D418" s="625"/>
      <c r="E418" s="626"/>
      <c r="F418" s="165"/>
      <c r="G418" s="580"/>
      <c r="H418" s="299"/>
      <c r="I418" s="580"/>
      <c r="J418" s="580"/>
      <c r="K418" s="580"/>
      <c r="L418" s="580"/>
      <c r="M418" s="580"/>
      <c r="N418" s="580"/>
      <c r="O418" s="580"/>
      <c r="P418" s="580"/>
    </row>
    <row r="419" spans="1:16" ht="14.4">
      <c r="A419" s="624"/>
      <c r="B419" s="625"/>
      <c r="C419" s="624"/>
      <c r="D419" s="625"/>
      <c r="E419" s="626"/>
      <c r="F419" s="165"/>
      <c r="G419" s="580"/>
      <c r="H419" s="299"/>
      <c r="I419" s="580"/>
      <c r="J419" s="580"/>
      <c r="K419" s="580"/>
      <c r="L419" s="580"/>
      <c r="M419" s="580"/>
      <c r="N419" s="580"/>
      <c r="O419" s="580"/>
      <c r="P419" s="580"/>
    </row>
    <row r="420" spans="1:16" ht="14.4">
      <c r="A420" s="624"/>
      <c r="B420" s="625"/>
      <c r="C420" s="624"/>
      <c r="D420" s="625"/>
      <c r="E420" s="626"/>
      <c r="F420" s="165"/>
      <c r="G420" s="580"/>
      <c r="H420" s="299"/>
      <c r="I420" s="580"/>
      <c r="J420" s="580"/>
      <c r="K420" s="580"/>
      <c r="L420" s="580"/>
      <c r="M420" s="580"/>
      <c r="N420" s="580"/>
      <c r="O420" s="580"/>
      <c r="P420" s="580"/>
    </row>
    <row r="421" spans="1:16" ht="14.4">
      <c r="A421" s="624"/>
      <c r="B421" s="625"/>
      <c r="C421" s="624"/>
      <c r="D421" s="625"/>
      <c r="E421" s="626"/>
      <c r="F421" s="165"/>
      <c r="G421" s="580"/>
      <c r="H421" s="299"/>
      <c r="I421" s="580"/>
      <c r="J421" s="580"/>
      <c r="K421" s="580"/>
      <c r="L421" s="580"/>
      <c r="M421" s="580"/>
      <c r="N421" s="580"/>
      <c r="O421" s="580"/>
      <c r="P421" s="580"/>
    </row>
    <row r="422" spans="1:16" ht="14.4">
      <c r="A422" s="624"/>
      <c r="B422" s="625"/>
      <c r="C422" s="624"/>
      <c r="D422" s="625"/>
      <c r="E422" s="626"/>
      <c r="F422" s="165"/>
      <c r="G422" s="580"/>
      <c r="H422" s="299"/>
      <c r="I422" s="580"/>
      <c r="J422" s="580"/>
      <c r="K422" s="580"/>
      <c r="L422" s="580"/>
      <c r="M422" s="580"/>
      <c r="N422" s="580"/>
      <c r="O422" s="580"/>
      <c r="P422" s="580"/>
    </row>
    <row r="423" spans="1:16" ht="14.4">
      <c r="A423" s="624"/>
      <c r="B423" s="625"/>
      <c r="C423" s="624"/>
      <c r="D423" s="625"/>
      <c r="E423" s="626"/>
      <c r="F423" s="165"/>
      <c r="G423" s="580"/>
      <c r="H423" s="299"/>
      <c r="I423" s="580"/>
      <c r="J423" s="580"/>
      <c r="K423" s="580"/>
      <c r="L423" s="580"/>
      <c r="M423" s="580"/>
      <c r="N423" s="580"/>
      <c r="O423" s="580"/>
      <c r="P423" s="580"/>
    </row>
    <row r="424" spans="1:16" ht="14.4">
      <c r="A424" s="624"/>
      <c r="B424" s="625"/>
      <c r="C424" s="624"/>
      <c r="D424" s="625"/>
      <c r="E424" s="626"/>
      <c r="F424" s="165"/>
      <c r="G424" s="580"/>
      <c r="H424" s="299"/>
      <c r="I424" s="580"/>
      <c r="J424" s="580"/>
      <c r="K424" s="580"/>
      <c r="L424" s="580"/>
      <c r="M424" s="580"/>
      <c r="N424" s="580"/>
      <c r="O424" s="580"/>
      <c r="P424" s="580"/>
    </row>
    <row r="425" spans="1:16" ht="14.4">
      <c r="A425" s="624"/>
      <c r="B425" s="625"/>
      <c r="C425" s="624"/>
      <c r="D425" s="625"/>
      <c r="E425" s="626"/>
      <c r="F425" s="165"/>
      <c r="G425" s="580"/>
      <c r="H425" s="299"/>
      <c r="I425" s="580"/>
      <c r="J425" s="580"/>
      <c r="K425" s="580"/>
      <c r="L425" s="580"/>
      <c r="M425" s="580"/>
      <c r="N425" s="580"/>
      <c r="O425" s="580"/>
      <c r="P425" s="580"/>
    </row>
    <row r="426" spans="1:16" ht="14.4">
      <c r="A426" s="624"/>
      <c r="B426" s="625"/>
      <c r="C426" s="624"/>
      <c r="D426" s="625"/>
      <c r="E426" s="626"/>
      <c r="F426" s="165"/>
      <c r="G426" s="580"/>
      <c r="H426" s="299"/>
      <c r="I426" s="580"/>
      <c r="J426" s="580"/>
      <c r="K426" s="580"/>
      <c r="L426" s="580"/>
      <c r="M426" s="580"/>
      <c r="N426" s="580"/>
      <c r="O426" s="580"/>
      <c r="P426" s="580"/>
    </row>
    <row r="427" spans="1:16" ht="14.4">
      <c r="A427" s="624"/>
      <c r="B427" s="625"/>
      <c r="C427" s="624"/>
      <c r="D427" s="625"/>
      <c r="E427" s="626"/>
      <c r="F427" s="165"/>
      <c r="G427" s="580"/>
      <c r="H427" s="299"/>
      <c r="I427" s="580"/>
      <c r="J427" s="580"/>
      <c r="K427" s="580"/>
      <c r="L427" s="580"/>
      <c r="M427" s="580"/>
      <c r="N427" s="580"/>
      <c r="O427" s="580"/>
      <c r="P427" s="580"/>
    </row>
    <row r="428" spans="1:16" ht="14.4">
      <c r="A428" s="624"/>
      <c r="B428" s="625"/>
      <c r="C428" s="624"/>
      <c r="D428" s="625"/>
      <c r="E428" s="626"/>
      <c r="F428" s="165"/>
      <c r="G428" s="580"/>
      <c r="H428" s="299"/>
      <c r="I428" s="580"/>
      <c r="J428" s="580"/>
      <c r="K428" s="580"/>
      <c r="L428" s="580"/>
      <c r="M428" s="580"/>
      <c r="N428" s="580"/>
      <c r="O428" s="580"/>
      <c r="P428" s="580"/>
    </row>
    <row r="429" spans="1:16" ht="14.4">
      <c r="A429" s="624"/>
      <c r="B429" s="625"/>
      <c r="C429" s="624"/>
      <c r="D429" s="625"/>
      <c r="E429" s="626"/>
      <c r="F429" s="165"/>
      <c r="G429" s="580"/>
      <c r="H429" s="299"/>
      <c r="I429" s="580"/>
      <c r="J429" s="580"/>
      <c r="K429" s="580"/>
      <c r="L429" s="580"/>
      <c r="M429" s="580"/>
      <c r="N429" s="580"/>
      <c r="O429" s="580"/>
      <c r="P429" s="580"/>
    </row>
    <row r="430" spans="1:16" ht="14.4">
      <c r="A430" s="624"/>
      <c r="B430" s="625"/>
      <c r="C430" s="624"/>
      <c r="D430" s="625"/>
      <c r="E430" s="626"/>
      <c r="F430" s="165"/>
      <c r="G430" s="580"/>
      <c r="H430" s="299"/>
      <c r="I430" s="580"/>
      <c r="J430" s="580"/>
      <c r="K430" s="580"/>
      <c r="L430" s="580"/>
      <c r="M430" s="580"/>
      <c r="N430" s="580"/>
      <c r="O430" s="580"/>
      <c r="P430" s="580"/>
    </row>
    <row r="431" spans="1:16" ht="14.4">
      <c r="A431" s="624"/>
      <c r="B431" s="625"/>
      <c r="C431" s="624"/>
      <c r="D431" s="625"/>
      <c r="E431" s="626"/>
      <c r="F431" s="165"/>
      <c r="G431" s="580"/>
      <c r="H431" s="299"/>
      <c r="I431" s="580"/>
      <c r="J431" s="580"/>
      <c r="K431" s="580"/>
      <c r="L431" s="580"/>
      <c r="M431" s="580"/>
      <c r="N431" s="580"/>
      <c r="O431" s="580"/>
      <c r="P431" s="580"/>
    </row>
    <row r="432" spans="1:16" ht="14.4">
      <c r="A432" s="624"/>
      <c r="B432" s="625"/>
      <c r="C432" s="624"/>
      <c r="D432" s="625"/>
      <c r="E432" s="626"/>
      <c r="F432" s="165"/>
      <c r="G432" s="580"/>
      <c r="H432" s="299"/>
      <c r="I432" s="580"/>
      <c r="J432" s="580"/>
      <c r="K432" s="580"/>
      <c r="L432" s="580"/>
      <c r="M432" s="580"/>
      <c r="N432" s="580"/>
      <c r="O432" s="580"/>
      <c r="P432" s="580"/>
    </row>
    <row r="433" spans="1:16" ht="14.4">
      <c r="A433" s="624"/>
      <c r="B433" s="625"/>
      <c r="C433" s="624"/>
      <c r="D433" s="625"/>
      <c r="E433" s="626"/>
      <c r="F433" s="165"/>
      <c r="G433" s="580"/>
      <c r="H433" s="299"/>
      <c r="I433" s="580"/>
      <c r="J433" s="580"/>
      <c r="K433" s="580"/>
      <c r="L433" s="580"/>
      <c r="M433" s="580"/>
      <c r="N433" s="580"/>
      <c r="O433" s="580"/>
      <c r="P433" s="580"/>
    </row>
    <row r="434" spans="1:16" ht="14.4">
      <c r="A434" s="624"/>
      <c r="B434" s="625"/>
      <c r="C434" s="624"/>
      <c r="D434" s="625"/>
      <c r="E434" s="626"/>
      <c r="F434" s="165"/>
      <c r="G434" s="580"/>
      <c r="H434" s="299"/>
      <c r="I434" s="580"/>
      <c r="J434" s="580"/>
      <c r="K434" s="580"/>
      <c r="L434" s="580"/>
      <c r="M434" s="580"/>
      <c r="N434" s="580"/>
      <c r="O434" s="580"/>
      <c r="P434" s="580"/>
    </row>
    <row r="435" spans="1:16" ht="14.4">
      <c r="A435" s="624"/>
      <c r="B435" s="625"/>
      <c r="C435" s="624"/>
      <c r="D435" s="625"/>
      <c r="E435" s="626"/>
      <c r="F435" s="165"/>
      <c r="G435" s="580"/>
      <c r="H435" s="299"/>
      <c r="I435" s="580"/>
      <c r="J435" s="580"/>
      <c r="K435" s="580"/>
      <c r="L435" s="580"/>
      <c r="M435" s="580"/>
      <c r="N435" s="580"/>
      <c r="O435" s="580"/>
      <c r="P435" s="580"/>
    </row>
    <row r="436" spans="1:16" ht="14.4">
      <c r="A436" s="624"/>
      <c r="B436" s="625"/>
      <c r="C436" s="624"/>
      <c r="D436" s="625"/>
      <c r="E436" s="626"/>
      <c r="F436" s="165"/>
      <c r="G436" s="580"/>
      <c r="H436" s="299"/>
      <c r="I436" s="580"/>
      <c r="J436" s="580"/>
      <c r="K436" s="580"/>
      <c r="L436" s="580"/>
      <c r="M436" s="580"/>
      <c r="N436" s="580"/>
      <c r="O436" s="580"/>
      <c r="P436" s="580"/>
    </row>
    <row r="437" spans="1:16" ht="14.4">
      <c r="A437" s="624"/>
      <c r="B437" s="625"/>
      <c r="C437" s="624"/>
      <c r="D437" s="625"/>
      <c r="E437" s="626"/>
      <c r="F437" s="165"/>
      <c r="G437" s="580"/>
      <c r="H437" s="299"/>
      <c r="I437" s="580"/>
      <c r="J437" s="580"/>
      <c r="K437" s="580"/>
      <c r="L437" s="580"/>
      <c r="M437" s="580"/>
      <c r="N437" s="580"/>
      <c r="O437" s="580"/>
      <c r="P437" s="580"/>
    </row>
    <row r="438" spans="1:16" ht="14.4">
      <c r="A438" s="624"/>
      <c r="B438" s="625"/>
      <c r="C438" s="624"/>
      <c r="D438" s="625"/>
      <c r="E438" s="626"/>
      <c r="F438" s="165"/>
      <c r="G438" s="580"/>
      <c r="H438" s="299"/>
      <c r="I438" s="580"/>
      <c r="J438" s="580"/>
      <c r="K438" s="580"/>
      <c r="L438" s="580"/>
      <c r="M438" s="580"/>
      <c r="N438" s="580"/>
      <c r="O438" s="580"/>
      <c r="P438" s="580"/>
    </row>
    <row r="439" spans="1:16" ht="14.4">
      <c r="A439" s="624"/>
      <c r="B439" s="625"/>
      <c r="C439" s="624"/>
      <c r="D439" s="625"/>
      <c r="E439" s="626"/>
      <c r="F439" s="165"/>
      <c r="G439" s="580"/>
      <c r="H439" s="299"/>
      <c r="I439" s="580"/>
      <c r="J439" s="580"/>
      <c r="K439" s="580"/>
      <c r="L439" s="580"/>
      <c r="M439" s="580"/>
      <c r="N439" s="580"/>
      <c r="O439" s="580"/>
      <c r="P439" s="580"/>
    </row>
    <row r="440" spans="1:16" ht="14.4">
      <c r="A440" s="624"/>
      <c r="B440" s="625"/>
      <c r="C440" s="624"/>
      <c r="D440" s="625"/>
      <c r="E440" s="626"/>
      <c r="F440" s="165"/>
      <c r="G440" s="580"/>
      <c r="H440" s="299"/>
      <c r="I440" s="580"/>
      <c r="J440" s="580"/>
      <c r="K440" s="580"/>
      <c r="L440" s="580"/>
      <c r="M440" s="580"/>
      <c r="N440" s="580"/>
      <c r="O440" s="580"/>
      <c r="P440" s="580"/>
    </row>
    <row r="441" spans="1:16" ht="14.4">
      <c r="A441" s="624"/>
      <c r="B441" s="625"/>
      <c r="C441" s="624"/>
      <c r="D441" s="625"/>
      <c r="E441" s="626"/>
      <c r="F441" s="165"/>
      <c r="G441" s="580"/>
      <c r="H441" s="299"/>
      <c r="I441" s="580"/>
      <c r="J441" s="580"/>
      <c r="K441" s="580"/>
      <c r="L441" s="580"/>
      <c r="M441" s="580"/>
      <c r="N441" s="580"/>
      <c r="O441" s="580"/>
      <c r="P441" s="580"/>
    </row>
    <row r="442" spans="1:16" ht="14.4">
      <c r="A442" s="624"/>
      <c r="B442" s="625"/>
      <c r="C442" s="624"/>
      <c r="D442" s="625"/>
      <c r="E442" s="626"/>
      <c r="F442" s="165"/>
      <c r="G442" s="580"/>
      <c r="H442" s="299"/>
      <c r="I442" s="580"/>
      <c r="J442" s="580"/>
      <c r="K442" s="580"/>
      <c r="L442" s="580"/>
      <c r="M442" s="580"/>
      <c r="N442" s="580"/>
      <c r="O442" s="580"/>
      <c r="P442" s="580"/>
    </row>
    <row r="443" spans="1:16" ht="14.4">
      <c r="A443" s="624"/>
      <c r="B443" s="625"/>
      <c r="C443" s="624"/>
      <c r="D443" s="625"/>
      <c r="E443" s="626"/>
      <c r="F443" s="165"/>
      <c r="G443" s="580"/>
      <c r="H443" s="299"/>
      <c r="I443" s="580"/>
      <c r="J443" s="580"/>
      <c r="K443" s="580"/>
      <c r="L443" s="580"/>
      <c r="M443" s="580"/>
      <c r="N443" s="580"/>
      <c r="O443" s="580"/>
      <c r="P443" s="580"/>
    </row>
    <row r="444" spans="1:16" ht="14.4">
      <c r="A444" s="624"/>
      <c r="B444" s="625"/>
      <c r="C444" s="624"/>
      <c r="D444" s="625"/>
      <c r="E444" s="626"/>
      <c r="F444" s="165"/>
      <c r="G444" s="580"/>
      <c r="H444" s="299"/>
      <c r="I444" s="580"/>
      <c r="J444" s="580"/>
      <c r="K444" s="580"/>
      <c r="L444" s="580"/>
      <c r="M444" s="580"/>
      <c r="N444" s="580"/>
      <c r="O444" s="580"/>
      <c r="P444" s="580"/>
    </row>
    <row r="445" spans="1:16" ht="14.4">
      <c r="A445" s="624"/>
      <c r="B445" s="625"/>
      <c r="C445" s="624"/>
      <c r="D445" s="625"/>
      <c r="E445" s="626"/>
      <c r="F445" s="165"/>
      <c r="G445" s="580"/>
      <c r="H445" s="299"/>
      <c r="I445" s="580"/>
      <c r="J445" s="580"/>
      <c r="K445" s="580"/>
      <c r="L445" s="580"/>
      <c r="M445" s="580"/>
      <c r="N445" s="580"/>
      <c r="O445" s="580"/>
      <c r="P445" s="580"/>
    </row>
    <row r="446" spans="1:16" ht="14.4">
      <c r="A446" s="624"/>
      <c r="B446" s="625"/>
      <c r="C446" s="624"/>
      <c r="D446" s="625"/>
      <c r="E446" s="626"/>
      <c r="F446" s="165"/>
      <c r="G446" s="580"/>
      <c r="H446" s="299"/>
      <c r="I446" s="580"/>
      <c r="J446" s="580"/>
      <c r="K446" s="580"/>
      <c r="L446" s="580"/>
      <c r="M446" s="580"/>
      <c r="N446" s="580"/>
      <c r="O446" s="580"/>
      <c r="P446" s="580"/>
    </row>
    <row r="447" spans="1:16" ht="14.4">
      <c r="A447" s="624"/>
      <c r="B447" s="625"/>
      <c r="C447" s="624"/>
      <c r="D447" s="625"/>
      <c r="E447" s="626"/>
      <c r="F447" s="165"/>
      <c r="G447" s="580"/>
      <c r="H447" s="299"/>
      <c r="I447" s="580"/>
      <c r="J447" s="580"/>
      <c r="K447" s="580"/>
      <c r="L447" s="580"/>
      <c r="M447" s="580"/>
      <c r="N447" s="580"/>
      <c r="O447" s="580"/>
      <c r="P447" s="580"/>
    </row>
    <row r="448" spans="1:16" ht="14.4">
      <c r="A448" s="624"/>
      <c r="B448" s="625"/>
      <c r="C448" s="624"/>
      <c r="D448" s="625"/>
      <c r="E448" s="626"/>
      <c r="F448" s="165"/>
      <c r="G448" s="580"/>
      <c r="H448" s="299"/>
      <c r="I448" s="580"/>
      <c r="J448" s="580"/>
      <c r="K448" s="580"/>
      <c r="L448" s="580"/>
      <c r="M448" s="580"/>
      <c r="N448" s="580"/>
      <c r="O448" s="580"/>
      <c r="P448" s="580"/>
    </row>
    <row r="449" spans="1:16" ht="14.4">
      <c r="A449" s="624"/>
      <c r="B449" s="625"/>
      <c r="C449" s="624"/>
      <c r="D449" s="625"/>
      <c r="E449" s="626"/>
      <c r="F449" s="165"/>
      <c r="G449" s="580"/>
      <c r="H449" s="299"/>
      <c r="I449" s="580"/>
      <c r="J449" s="580"/>
      <c r="K449" s="580"/>
      <c r="L449" s="580"/>
      <c r="M449" s="580"/>
      <c r="N449" s="580"/>
      <c r="O449" s="580"/>
      <c r="P449" s="580"/>
    </row>
    <row r="450" spans="1:16" ht="14.4">
      <c r="A450" s="624"/>
      <c r="B450" s="625"/>
      <c r="C450" s="624"/>
      <c r="D450" s="625"/>
      <c r="E450" s="626"/>
      <c r="F450" s="165"/>
      <c r="G450" s="580"/>
      <c r="H450" s="299"/>
      <c r="I450" s="580"/>
      <c r="J450" s="580"/>
      <c r="K450" s="580"/>
      <c r="L450" s="580"/>
      <c r="M450" s="580"/>
      <c r="N450" s="580"/>
      <c r="O450" s="580"/>
      <c r="P450" s="580"/>
    </row>
    <row r="451" spans="1:16" ht="14.4">
      <c r="A451" s="624"/>
      <c r="B451" s="625"/>
      <c r="C451" s="624"/>
      <c r="D451" s="625"/>
      <c r="E451" s="626"/>
      <c r="F451" s="165"/>
      <c r="G451" s="580"/>
      <c r="H451" s="299"/>
      <c r="I451" s="580"/>
      <c r="J451" s="580"/>
      <c r="K451" s="580"/>
      <c r="L451" s="580"/>
      <c r="M451" s="580"/>
      <c r="N451" s="580"/>
      <c r="O451" s="580"/>
      <c r="P451" s="580"/>
    </row>
    <row r="452" spans="1:16" ht="14.4">
      <c r="A452" s="624"/>
      <c r="B452" s="625"/>
      <c r="C452" s="624"/>
      <c r="D452" s="625"/>
      <c r="E452" s="626"/>
      <c r="F452" s="165"/>
      <c r="G452" s="580"/>
      <c r="H452" s="299"/>
      <c r="I452" s="580"/>
      <c r="J452" s="580"/>
      <c r="K452" s="580"/>
      <c r="L452" s="580"/>
      <c r="M452" s="580"/>
      <c r="N452" s="580"/>
      <c r="O452" s="580"/>
      <c r="P452" s="580"/>
    </row>
    <row r="453" spans="1:16" ht="14.4">
      <c r="A453" s="624"/>
      <c r="B453" s="625"/>
      <c r="C453" s="624"/>
      <c r="D453" s="625"/>
      <c r="E453" s="626"/>
      <c r="F453" s="165"/>
      <c r="G453" s="580"/>
      <c r="H453" s="299"/>
      <c r="I453" s="580"/>
      <c r="J453" s="580"/>
      <c r="K453" s="580"/>
      <c r="L453" s="580"/>
      <c r="M453" s="580"/>
      <c r="N453" s="580"/>
      <c r="O453" s="580"/>
      <c r="P453" s="580"/>
    </row>
    <row r="454" spans="1:16" ht="14.4">
      <c r="A454" s="624"/>
      <c r="B454" s="625"/>
      <c r="C454" s="624"/>
      <c r="D454" s="625"/>
      <c r="E454" s="626"/>
      <c r="F454" s="165"/>
      <c r="G454" s="580"/>
      <c r="H454" s="299"/>
      <c r="I454" s="580"/>
      <c r="J454" s="580"/>
      <c r="K454" s="580"/>
      <c r="L454" s="580"/>
      <c r="M454" s="580"/>
      <c r="N454" s="580"/>
      <c r="O454" s="580"/>
      <c r="P454" s="580"/>
    </row>
    <row r="455" spans="1:16" ht="14.4">
      <c r="A455" s="624"/>
      <c r="B455" s="625"/>
      <c r="C455" s="624"/>
      <c r="D455" s="625"/>
      <c r="E455" s="626"/>
      <c r="F455" s="165"/>
      <c r="G455" s="580"/>
      <c r="H455" s="299"/>
      <c r="I455" s="580"/>
      <c r="J455" s="580"/>
      <c r="K455" s="580"/>
      <c r="L455" s="580"/>
      <c r="M455" s="580"/>
      <c r="N455" s="580"/>
      <c r="O455" s="580"/>
      <c r="P455" s="580"/>
    </row>
    <row r="456" spans="1:16" ht="14.4">
      <c r="A456" s="624"/>
      <c r="B456" s="625"/>
      <c r="C456" s="624"/>
      <c r="D456" s="625"/>
      <c r="E456" s="626"/>
      <c r="F456" s="165"/>
      <c r="G456" s="580"/>
      <c r="H456" s="299"/>
      <c r="I456" s="580"/>
      <c r="J456" s="580"/>
      <c r="K456" s="580"/>
      <c r="L456" s="580"/>
      <c r="M456" s="580"/>
      <c r="N456" s="580"/>
      <c r="O456" s="580"/>
      <c r="P456" s="580"/>
    </row>
    <row r="457" spans="1:16" ht="14.4">
      <c r="A457" s="624"/>
      <c r="B457" s="625"/>
      <c r="C457" s="624"/>
      <c r="D457" s="625"/>
      <c r="E457" s="626"/>
      <c r="F457" s="165"/>
      <c r="G457" s="580"/>
      <c r="H457" s="299"/>
      <c r="I457" s="580"/>
      <c r="J457" s="580"/>
      <c r="K457" s="580"/>
      <c r="L457" s="580"/>
      <c r="M457" s="580"/>
      <c r="N457" s="580"/>
      <c r="O457" s="580"/>
      <c r="P457" s="580"/>
    </row>
    <row r="458" spans="1:16" ht="14.4">
      <c r="A458" s="624"/>
      <c r="B458" s="625"/>
      <c r="C458" s="624"/>
      <c r="D458" s="625"/>
      <c r="E458" s="626"/>
      <c r="F458" s="165"/>
      <c r="G458" s="580"/>
      <c r="H458" s="299"/>
      <c r="I458" s="580"/>
      <c r="J458" s="580"/>
      <c r="K458" s="580"/>
      <c r="L458" s="580"/>
      <c r="M458" s="580"/>
      <c r="N458" s="580"/>
      <c r="O458" s="580"/>
      <c r="P458" s="580"/>
    </row>
    <row r="459" spans="1:16" ht="14.4">
      <c r="A459" s="624"/>
      <c r="B459" s="625"/>
      <c r="C459" s="624"/>
      <c r="D459" s="625"/>
      <c r="E459" s="626"/>
      <c r="F459" s="165"/>
      <c r="G459" s="580"/>
      <c r="H459" s="299"/>
      <c r="I459" s="580"/>
      <c r="J459" s="580"/>
      <c r="K459" s="580"/>
      <c r="L459" s="580"/>
      <c r="M459" s="580"/>
      <c r="N459" s="580"/>
      <c r="O459" s="580"/>
      <c r="P459" s="580"/>
    </row>
    <row r="460" spans="1:16" ht="14.4">
      <c r="A460" s="624"/>
      <c r="B460" s="625"/>
      <c r="C460" s="624"/>
      <c r="D460" s="625"/>
      <c r="E460" s="626"/>
      <c r="F460" s="165"/>
      <c r="G460" s="580"/>
      <c r="H460" s="299"/>
      <c r="I460" s="580"/>
      <c r="J460" s="580"/>
      <c r="K460" s="580"/>
      <c r="L460" s="580"/>
      <c r="M460" s="580"/>
      <c r="N460" s="580"/>
      <c r="O460" s="580"/>
      <c r="P460" s="580"/>
    </row>
    <row r="461" spans="1:16" ht="14.4">
      <c r="A461" s="624"/>
      <c r="B461" s="625"/>
      <c r="C461" s="624"/>
      <c r="D461" s="625"/>
      <c r="E461" s="626"/>
      <c r="F461" s="165"/>
      <c r="G461" s="580"/>
      <c r="H461" s="299"/>
      <c r="I461" s="580"/>
      <c r="J461" s="580"/>
      <c r="K461" s="580"/>
      <c r="L461" s="580"/>
      <c r="M461" s="580"/>
      <c r="N461" s="580"/>
      <c r="O461" s="580"/>
      <c r="P461" s="580"/>
    </row>
    <row r="462" spans="1:16" ht="14.4">
      <c r="A462" s="624"/>
      <c r="B462" s="625"/>
      <c r="C462" s="624"/>
      <c r="D462" s="625"/>
      <c r="E462" s="626"/>
      <c r="F462" s="165"/>
      <c r="G462" s="580"/>
      <c r="H462" s="299"/>
      <c r="I462" s="580"/>
      <c r="J462" s="580"/>
      <c r="K462" s="580"/>
      <c r="L462" s="580"/>
      <c r="M462" s="580"/>
      <c r="N462" s="580"/>
      <c r="O462" s="580"/>
      <c r="P462" s="580"/>
    </row>
    <row r="463" spans="1:16" ht="14.4">
      <c r="A463" s="624"/>
      <c r="B463" s="625"/>
      <c r="C463" s="624"/>
      <c r="D463" s="625"/>
      <c r="E463" s="626"/>
      <c r="F463" s="165"/>
      <c r="G463" s="580"/>
      <c r="H463" s="299"/>
      <c r="I463" s="580"/>
      <c r="J463" s="580"/>
      <c r="K463" s="580"/>
      <c r="L463" s="580"/>
      <c r="M463" s="580"/>
      <c r="N463" s="580"/>
      <c r="O463" s="580"/>
      <c r="P463" s="580"/>
    </row>
    <row r="464" spans="1:16" ht="14.4">
      <c r="A464" s="624"/>
      <c r="B464" s="625"/>
      <c r="C464" s="624"/>
      <c r="D464" s="625"/>
      <c r="E464" s="626"/>
      <c r="F464" s="165"/>
      <c r="G464" s="580"/>
      <c r="H464" s="299"/>
      <c r="I464" s="580"/>
      <c r="J464" s="580"/>
      <c r="K464" s="580"/>
      <c r="L464" s="580"/>
      <c r="M464" s="580"/>
      <c r="N464" s="580"/>
      <c r="O464" s="580"/>
      <c r="P464" s="580"/>
    </row>
    <row r="465" spans="1:16" ht="14.4">
      <c r="A465" s="624"/>
      <c r="B465" s="625"/>
      <c r="C465" s="624"/>
      <c r="D465" s="625"/>
      <c r="E465" s="626"/>
      <c r="F465" s="165"/>
      <c r="G465" s="580"/>
      <c r="H465" s="299"/>
      <c r="I465" s="580"/>
      <c r="J465" s="580"/>
      <c r="K465" s="580"/>
      <c r="L465" s="580"/>
      <c r="M465" s="580"/>
      <c r="N465" s="580"/>
      <c r="O465" s="580"/>
      <c r="P465" s="580"/>
    </row>
    <row r="466" spans="1:16" ht="14.4">
      <c r="A466" s="624"/>
      <c r="B466" s="625"/>
      <c r="C466" s="624"/>
      <c r="D466" s="625"/>
      <c r="E466" s="626"/>
      <c r="F466" s="165"/>
      <c r="G466" s="580"/>
      <c r="H466" s="299"/>
      <c r="I466" s="580"/>
      <c r="J466" s="580"/>
      <c r="K466" s="580"/>
      <c r="L466" s="580"/>
      <c r="M466" s="580"/>
      <c r="N466" s="580"/>
      <c r="O466" s="580"/>
      <c r="P466" s="580"/>
    </row>
    <row r="467" spans="1:16" ht="14.4">
      <c r="A467" s="624"/>
      <c r="B467" s="625"/>
      <c r="C467" s="624"/>
      <c r="D467" s="625"/>
      <c r="E467" s="626"/>
      <c r="F467" s="165"/>
      <c r="G467" s="580"/>
      <c r="H467" s="299"/>
      <c r="I467" s="580"/>
      <c r="J467" s="580"/>
      <c r="K467" s="580"/>
      <c r="L467" s="580"/>
      <c r="M467" s="580"/>
      <c r="N467" s="580"/>
      <c r="O467" s="580"/>
      <c r="P467" s="580"/>
    </row>
    <row r="468" spans="1:16" ht="14.4">
      <c r="A468" s="624"/>
      <c r="B468" s="625"/>
      <c r="C468" s="624"/>
      <c r="D468" s="625"/>
      <c r="E468" s="626"/>
      <c r="F468" s="165"/>
      <c r="G468" s="580"/>
      <c r="H468" s="299"/>
      <c r="I468" s="580"/>
      <c r="J468" s="580"/>
      <c r="K468" s="580"/>
      <c r="L468" s="580"/>
      <c r="M468" s="580"/>
      <c r="N468" s="580"/>
      <c r="O468" s="580"/>
      <c r="P468" s="580"/>
    </row>
    <row r="469" spans="1:16" ht="14.4">
      <c r="A469" s="624"/>
      <c r="B469" s="625"/>
      <c r="C469" s="624"/>
      <c r="D469" s="625"/>
      <c r="E469" s="626"/>
      <c r="F469" s="165"/>
      <c r="G469" s="580"/>
      <c r="H469" s="299"/>
      <c r="I469" s="580"/>
      <c r="J469" s="580"/>
      <c r="K469" s="580"/>
      <c r="L469" s="580"/>
      <c r="M469" s="580"/>
      <c r="N469" s="580"/>
      <c r="O469" s="580"/>
      <c r="P469" s="580"/>
    </row>
    <row r="470" spans="1:16" ht="14.4">
      <c r="A470" s="624"/>
      <c r="B470" s="625"/>
      <c r="C470" s="624"/>
      <c r="D470" s="625"/>
      <c r="E470" s="626"/>
      <c r="F470" s="165"/>
      <c r="G470" s="580"/>
      <c r="H470" s="299"/>
      <c r="I470" s="580"/>
      <c r="J470" s="580"/>
      <c r="K470" s="580"/>
      <c r="L470" s="580"/>
      <c r="M470" s="580"/>
      <c r="N470" s="580"/>
      <c r="O470" s="580"/>
      <c r="P470" s="580"/>
    </row>
    <row r="471" spans="1:16" ht="14.4">
      <c r="A471" s="624"/>
      <c r="B471" s="625"/>
      <c r="C471" s="624"/>
      <c r="D471" s="625"/>
      <c r="E471" s="626"/>
      <c r="F471" s="165"/>
      <c r="G471" s="580"/>
      <c r="H471" s="299"/>
      <c r="I471" s="580"/>
      <c r="J471" s="580"/>
      <c r="K471" s="580"/>
      <c r="L471" s="580"/>
      <c r="M471" s="580"/>
      <c r="N471" s="580"/>
      <c r="O471" s="580"/>
      <c r="P471" s="580"/>
    </row>
    <row r="472" spans="1:16" ht="14.4">
      <c r="A472" s="624"/>
      <c r="B472" s="625"/>
      <c r="C472" s="624"/>
      <c r="D472" s="625"/>
      <c r="E472" s="626"/>
      <c r="F472" s="165"/>
      <c r="G472" s="580"/>
      <c r="H472" s="299"/>
      <c r="I472" s="580"/>
      <c r="J472" s="580"/>
      <c r="K472" s="580"/>
      <c r="L472" s="580"/>
      <c r="M472" s="580"/>
      <c r="N472" s="580"/>
      <c r="O472" s="580"/>
      <c r="P472" s="580"/>
    </row>
    <row r="473" spans="1:16" ht="14.4">
      <c r="A473" s="624"/>
      <c r="B473" s="625"/>
      <c r="C473" s="624"/>
      <c r="D473" s="625"/>
      <c r="E473" s="626"/>
      <c r="F473" s="165"/>
      <c r="G473" s="580"/>
      <c r="H473" s="299"/>
      <c r="I473" s="580"/>
      <c r="J473" s="580"/>
      <c r="K473" s="580"/>
      <c r="L473" s="580"/>
      <c r="M473" s="580"/>
      <c r="N473" s="580"/>
      <c r="O473" s="580"/>
      <c r="P473" s="580"/>
    </row>
    <row r="474" spans="1:16" ht="14.4">
      <c r="A474" s="624"/>
      <c r="B474" s="625"/>
      <c r="C474" s="624"/>
      <c r="D474" s="625"/>
      <c r="E474" s="626"/>
      <c r="F474" s="165"/>
      <c r="G474" s="580"/>
      <c r="H474" s="299"/>
      <c r="I474" s="580"/>
      <c r="J474" s="580"/>
      <c r="K474" s="580"/>
      <c r="L474" s="580"/>
      <c r="M474" s="580"/>
      <c r="N474" s="580"/>
      <c r="O474" s="580"/>
      <c r="P474" s="580"/>
    </row>
    <row r="475" spans="1:16" ht="14.4">
      <c r="A475" s="624"/>
      <c r="B475" s="625"/>
      <c r="C475" s="624"/>
      <c r="D475" s="625"/>
      <c r="E475" s="626"/>
      <c r="F475" s="165"/>
      <c r="G475" s="580"/>
      <c r="H475" s="299"/>
      <c r="I475" s="580"/>
      <c r="J475" s="580"/>
      <c r="K475" s="580"/>
      <c r="L475" s="580"/>
      <c r="M475" s="580"/>
      <c r="N475" s="580"/>
      <c r="O475" s="580"/>
      <c r="P475" s="580"/>
    </row>
    <row r="476" spans="1:16" ht="14.4">
      <c r="A476" s="624"/>
      <c r="B476" s="625"/>
      <c r="C476" s="624"/>
      <c r="D476" s="625"/>
      <c r="E476" s="626"/>
      <c r="F476" s="165"/>
      <c r="G476" s="580"/>
      <c r="H476" s="299"/>
      <c r="I476" s="580"/>
      <c r="J476" s="580"/>
      <c r="K476" s="580"/>
      <c r="L476" s="580"/>
      <c r="M476" s="580"/>
      <c r="N476" s="580"/>
      <c r="O476" s="580"/>
      <c r="P476" s="580"/>
    </row>
    <row r="477" spans="1:16" ht="14.4">
      <c r="A477" s="624"/>
      <c r="B477" s="625"/>
      <c r="C477" s="624"/>
      <c r="D477" s="625"/>
      <c r="E477" s="626"/>
      <c r="F477" s="165"/>
      <c r="G477" s="580"/>
      <c r="H477" s="299"/>
      <c r="I477" s="580"/>
      <c r="J477" s="580"/>
      <c r="K477" s="580"/>
      <c r="L477" s="580"/>
      <c r="M477" s="580"/>
      <c r="N477" s="580"/>
      <c r="O477" s="580"/>
      <c r="P477" s="580"/>
    </row>
    <row r="478" spans="1:16" ht="14.4">
      <c r="A478" s="624"/>
      <c r="B478" s="625"/>
      <c r="C478" s="624"/>
      <c r="D478" s="625"/>
      <c r="E478" s="626"/>
      <c r="F478" s="165"/>
      <c r="G478" s="580"/>
      <c r="H478" s="299"/>
      <c r="I478" s="580"/>
      <c r="J478" s="580"/>
      <c r="K478" s="580"/>
      <c r="L478" s="580"/>
      <c r="M478" s="580"/>
      <c r="N478" s="580"/>
      <c r="O478" s="580"/>
      <c r="P478" s="580"/>
    </row>
    <row r="479" spans="1:16" ht="14.4">
      <c r="A479" s="624"/>
      <c r="B479" s="625"/>
      <c r="C479" s="624"/>
      <c r="D479" s="625"/>
      <c r="E479" s="626"/>
      <c r="F479" s="165"/>
      <c r="G479" s="580"/>
      <c r="H479" s="299"/>
      <c r="I479" s="580"/>
      <c r="J479" s="580"/>
      <c r="K479" s="580"/>
      <c r="L479" s="580"/>
      <c r="M479" s="580"/>
      <c r="N479" s="580"/>
      <c r="O479" s="580"/>
      <c r="P479" s="580"/>
    </row>
    <row r="480" spans="1:16" ht="14.4">
      <c r="A480" s="624"/>
      <c r="B480" s="625"/>
      <c r="C480" s="624"/>
      <c r="D480" s="625"/>
      <c r="E480" s="626"/>
      <c r="F480" s="165"/>
      <c r="G480" s="580"/>
      <c r="H480" s="299"/>
      <c r="I480" s="580"/>
      <c r="J480" s="580"/>
      <c r="K480" s="580"/>
      <c r="L480" s="580"/>
      <c r="M480" s="580"/>
      <c r="N480" s="580"/>
      <c r="O480" s="580"/>
      <c r="P480" s="580"/>
    </row>
    <row r="481" spans="1:16" ht="14.4">
      <c r="A481" s="624"/>
      <c r="B481" s="625"/>
      <c r="C481" s="624"/>
      <c r="D481" s="625"/>
      <c r="E481" s="626"/>
      <c r="F481" s="165"/>
      <c r="G481" s="580"/>
      <c r="H481" s="299"/>
      <c r="I481" s="580"/>
      <c r="J481" s="580"/>
      <c r="K481" s="580"/>
      <c r="L481" s="580"/>
      <c r="M481" s="580"/>
      <c r="N481" s="580"/>
      <c r="O481" s="580"/>
      <c r="P481" s="580"/>
    </row>
    <row r="482" spans="1:16" ht="14.4">
      <c r="A482" s="624"/>
      <c r="B482" s="625"/>
      <c r="C482" s="624"/>
      <c r="D482" s="625"/>
      <c r="E482" s="626"/>
      <c r="F482" s="165"/>
      <c r="G482" s="580"/>
      <c r="H482" s="299"/>
      <c r="I482" s="580"/>
      <c r="J482" s="580"/>
      <c r="K482" s="580"/>
      <c r="L482" s="580"/>
      <c r="M482" s="580"/>
      <c r="N482" s="580"/>
      <c r="O482" s="580"/>
      <c r="P482" s="580"/>
    </row>
    <row r="483" spans="1:16" ht="14.4">
      <c r="A483" s="624"/>
      <c r="B483" s="625"/>
      <c r="C483" s="624"/>
      <c r="D483" s="625"/>
      <c r="E483" s="626"/>
      <c r="F483" s="165"/>
      <c r="G483" s="580"/>
      <c r="H483" s="299"/>
      <c r="I483" s="580"/>
      <c r="J483" s="580"/>
      <c r="K483" s="580"/>
      <c r="L483" s="580"/>
      <c r="M483" s="580"/>
      <c r="N483" s="580"/>
      <c r="O483" s="580"/>
      <c r="P483" s="580"/>
    </row>
    <row r="484" spans="1:16" ht="14.4">
      <c r="A484" s="624"/>
      <c r="B484" s="625"/>
      <c r="C484" s="624"/>
      <c r="D484" s="625"/>
      <c r="E484" s="626"/>
      <c r="F484" s="165"/>
      <c r="G484" s="580"/>
      <c r="H484" s="299"/>
      <c r="I484" s="580"/>
      <c r="J484" s="580"/>
      <c r="K484" s="580"/>
      <c r="L484" s="580"/>
      <c r="M484" s="580"/>
      <c r="N484" s="580"/>
      <c r="O484" s="580"/>
      <c r="P484" s="580"/>
    </row>
    <row r="485" spans="1:16" ht="14.4">
      <c r="A485" s="624"/>
      <c r="B485" s="625"/>
      <c r="C485" s="624"/>
      <c r="D485" s="625"/>
      <c r="E485" s="626"/>
      <c r="F485" s="165"/>
      <c r="G485" s="580"/>
      <c r="H485" s="299"/>
      <c r="I485" s="580"/>
      <c r="J485" s="580"/>
      <c r="K485" s="580"/>
      <c r="L485" s="580"/>
      <c r="M485" s="580"/>
      <c r="N485" s="580"/>
      <c r="O485" s="580"/>
      <c r="P485" s="580"/>
    </row>
    <row r="486" spans="1:16" ht="14.4">
      <c r="A486" s="624"/>
      <c r="B486" s="625"/>
      <c r="C486" s="624"/>
      <c r="D486" s="625"/>
      <c r="E486" s="626"/>
      <c r="F486" s="165"/>
      <c r="G486" s="580"/>
      <c r="H486" s="299"/>
      <c r="I486" s="580"/>
      <c r="J486" s="580"/>
      <c r="K486" s="580"/>
      <c r="L486" s="580"/>
      <c r="M486" s="580"/>
      <c r="N486" s="580"/>
      <c r="O486" s="580"/>
      <c r="P486" s="580"/>
    </row>
    <row r="487" spans="1:16" ht="14.4">
      <c r="A487" s="624"/>
      <c r="B487" s="625"/>
      <c r="C487" s="624"/>
      <c r="D487" s="625"/>
      <c r="E487" s="626"/>
      <c r="F487" s="165"/>
      <c r="G487" s="580"/>
      <c r="H487" s="299"/>
      <c r="I487" s="580"/>
      <c r="J487" s="580"/>
      <c r="K487" s="580"/>
      <c r="L487" s="580"/>
      <c r="M487" s="580"/>
      <c r="N487" s="580"/>
      <c r="O487" s="580"/>
      <c r="P487" s="580"/>
    </row>
    <row r="488" spans="1:16" ht="14.4">
      <c r="A488" s="624"/>
      <c r="B488" s="625"/>
      <c r="C488" s="624"/>
      <c r="D488" s="625"/>
      <c r="E488" s="626"/>
      <c r="F488" s="165"/>
      <c r="G488" s="580"/>
      <c r="H488" s="299"/>
      <c r="I488" s="580"/>
      <c r="J488" s="580"/>
      <c r="K488" s="580"/>
      <c r="L488" s="580"/>
      <c r="M488" s="580"/>
      <c r="N488" s="580"/>
      <c r="O488" s="580"/>
      <c r="P488" s="580"/>
    </row>
    <row r="489" spans="1:16" ht="14.4">
      <c r="A489" s="624"/>
      <c r="B489" s="625"/>
      <c r="C489" s="624"/>
      <c r="D489" s="625"/>
      <c r="E489" s="626"/>
      <c r="F489" s="165"/>
      <c r="G489" s="580"/>
      <c r="H489" s="299"/>
      <c r="I489" s="580"/>
      <c r="J489" s="580"/>
      <c r="K489" s="580"/>
      <c r="L489" s="580"/>
      <c r="M489" s="580"/>
      <c r="N489" s="580"/>
      <c r="O489" s="580"/>
      <c r="P489" s="580"/>
    </row>
    <row r="490" spans="1:16" ht="14.4">
      <c r="A490" s="624"/>
      <c r="B490" s="625"/>
      <c r="C490" s="624"/>
      <c r="D490" s="625"/>
      <c r="E490" s="626"/>
      <c r="F490" s="165"/>
      <c r="G490" s="580"/>
      <c r="H490" s="299"/>
      <c r="I490" s="580"/>
      <c r="J490" s="580"/>
      <c r="K490" s="580"/>
      <c r="L490" s="580"/>
      <c r="M490" s="580"/>
      <c r="N490" s="580"/>
      <c r="O490" s="580"/>
      <c r="P490" s="580"/>
    </row>
    <row r="491" spans="1:16" ht="14.4">
      <c r="A491" s="624"/>
      <c r="B491" s="625"/>
      <c r="C491" s="624"/>
      <c r="D491" s="625"/>
      <c r="E491" s="626"/>
      <c r="F491" s="165"/>
      <c r="G491" s="580"/>
      <c r="H491" s="299"/>
      <c r="I491" s="580"/>
      <c r="J491" s="580"/>
      <c r="K491" s="580"/>
      <c r="L491" s="580"/>
      <c r="M491" s="580"/>
      <c r="N491" s="580"/>
      <c r="O491" s="580"/>
      <c r="P491" s="580"/>
    </row>
    <row r="492" spans="1:16" ht="14.4">
      <c r="A492" s="624"/>
      <c r="B492" s="625"/>
      <c r="C492" s="624"/>
      <c r="D492" s="625"/>
      <c r="E492" s="626"/>
      <c r="F492" s="165"/>
      <c r="G492" s="580"/>
      <c r="H492" s="299"/>
      <c r="I492" s="580"/>
      <c r="J492" s="580"/>
      <c r="K492" s="580"/>
      <c r="L492" s="580"/>
      <c r="M492" s="580"/>
      <c r="N492" s="580"/>
      <c r="O492" s="580"/>
      <c r="P492" s="580"/>
    </row>
    <row r="493" spans="1:16" ht="14.4">
      <c r="A493" s="624"/>
      <c r="B493" s="625"/>
      <c r="C493" s="624"/>
      <c r="D493" s="625"/>
      <c r="E493" s="626"/>
      <c r="F493" s="165"/>
      <c r="G493" s="580"/>
      <c r="H493" s="299"/>
      <c r="I493" s="580"/>
      <c r="J493" s="580"/>
      <c r="K493" s="580"/>
      <c r="L493" s="580"/>
      <c r="M493" s="580"/>
      <c r="N493" s="580"/>
      <c r="O493" s="580"/>
      <c r="P493" s="580"/>
    </row>
    <row r="494" spans="1:16" ht="14.4">
      <c r="A494" s="624"/>
      <c r="B494" s="625"/>
      <c r="C494" s="624"/>
      <c r="D494" s="625"/>
      <c r="E494" s="626"/>
      <c r="F494" s="165"/>
      <c r="G494" s="580"/>
      <c r="H494" s="299"/>
      <c r="I494" s="580"/>
      <c r="J494" s="580"/>
      <c r="K494" s="580"/>
      <c r="L494" s="580"/>
      <c r="M494" s="580"/>
      <c r="N494" s="580"/>
      <c r="O494" s="580"/>
      <c r="P494" s="580"/>
    </row>
    <row r="495" spans="1:16" ht="14.4">
      <c r="A495" s="624"/>
      <c r="B495" s="625"/>
      <c r="C495" s="624"/>
      <c r="D495" s="625"/>
      <c r="E495" s="626"/>
      <c r="F495" s="165"/>
      <c r="G495" s="580"/>
      <c r="H495" s="299"/>
      <c r="I495" s="580"/>
      <c r="J495" s="580"/>
      <c r="K495" s="580"/>
      <c r="L495" s="580"/>
      <c r="M495" s="580"/>
      <c r="N495" s="580"/>
      <c r="O495" s="580"/>
      <c r="P495" s="580"/>
    </row>
    <row r="496" spans="1:16" ht="14.4">
      <c r="A496" s="624"/>
      <c r="B496" s="625"/>
      <c r="C496" s="624"/>
      <c r="D496" s="625"/>
      <c r="E496" s="626"/>
      <c r="F496" s="165"/>
      <c r="G496" s="580"/>
      <c r="H496" s="299"/>
      <c r="I496" s="580"/>
      <c r="J496" s="580"/>
      <c r="K496" s="580"/>
      <c r="L496" s="580"/>
      <c r="M496" s="580"/>
      <c r="N496" s="580"/>
      <c r="O496" s="580"/>
      <c r="P496" s="580"/>
    </row>
    <row r="497" spans="1:16" ht="14.4">
      <c r="A497" s="624"/>
      <c r="B497" s="625"/>
      <c r="C497" s="624"/>
      <c r="D497" s="625"/>
      <c r="E497" s="626"/>
      <c r="F497" s="165"/>
      <c r="G497" s="580"/>
      <c r="H497" s="299"/>
      <c r="I497" s="580"/>
      <c r="J497" s="580"/>
      <c r="K497" s="580"/>
      <c r="L497" s="580"/>
      <c r="M497" s="580"/>
      <c r="N497" s="580"/>
      <c r="O497" s="580"/>
      <c r="P497" s="580"/>
    </row>
    <row r="498" spans="1:16" ht="14.4">
      <c r="A498" s="624"/>
      <c r="B498" s="625"/>
      <c r="C498" s="624"/>
      <c r="D498" s="625"/>
      <c r="E498" s="626"/>
      <c r="F498" s="165"/>
      <c r="G498" s="580"/>
      <c r="H498" s="299"/>
      <c r="I498" s="580"/>
      <c r="J498" s="580"/>
      <c r="K498" s="580"/>
      <c r="L498" s="580"/>
      <c r="M498" s="580"/>
      <c r="N498" s="580"/>
      <c r="O498" s="580"/>
      <c r="P498" s="580"/>
    </row>
    <row r="499" spans="1:16" ht="14.4">
      <c r="A499" s="624"/>
      <c r="B499" s="625"/>
      <c r="C499" s="624"/>
      <c r="D499" s="625"/>
      <c r="E499" s="626"/>
      <c r="F499" s="165"/>
      <c r="G499" s="580"/>
      <c r="H499" s="299"/>
      <c r="I499" s="580"/>
      <c r="J499" s="580"/>
      <c r="K499" s="580"/>
      <c r="L499" s="580"/>
      <c r="M499" s="580"/>
      <c r="N499" s="580"/>
      <c r="O499" s="580"/>
      <c r="P499" s="580"/>
    </row>
    <row r="500" spans="1:16" ht="14.4">
      <c r="A500" s="624"/>
      <c r="B500" s="625"/>
      <c r="C500" s="624"/>
      <c r="D500" s="625"/>
      <c r="E500" s="626"/>
      <c r="F500" s="165"/>
      <c r="G500" s="580"/>
      <c r="H500" s="299"/>
      <c r="I500" s="580"/>
      <c r="J500" s="580"/>
      <c r="K500" s="580"/>
      <c r="L500" s="580"/>
      <c r="M500" s="580"/>
      <c r="N500" s="580"/>
      <c r="O500" s="580"/>
      <c r="P500" s="580"/>
    </row>
    <row r="501" spans="1:16" ht="14.4">
      <c r="A501" s="624"/>
      <c r="B501" s="625"/>
      <c r="C501" s="624"/>
      <c r="D501" s="625"/>
      <c r="E501" s="626"/>
      <c r="F501" s="165"/>
      <c r="G501" s="580"/>
      <c r="H501" s="299"/>
      <c r="I501" s="580"/>
      <c r="J501" s="580"/>
      <c r="K501" s="580"/>
      <c r="L501" s="580"/>
      <c r="M501" s="580"/>
      <c r="N501" s="580"/>
      <c r="O501" s="580"/>
      <c r="P501" s="580"/>
    </row>
    <row r="502" spans="1:16" ht="14.4">
      <c r="A502" s="624"/>
      <c r="B502" s="625"/>
      <c r="C502" s="624"/>
      <c r="D502" s="625"/>
      <c r="E502" s="626"/>
      <c r="F502" s="165"/>
      <c r="G502" s="580"/>
      <c r="H502" s="299"/>
      <c r="I502" s="580"/>
      <c r="J502" s="580"/>
      <c r="K502" s="580"/>
      <c r="L502" s="580"/>
      <c r="M502" s="580"/>
      <c r="N502" s="580"/>
      <c r="O502" s="580"/>
      <c r="P502" s="580"/>
    </row>
    <row r="503" spans="1:16" ht="14.4">
      <c r="A503" s="624"/>
      <c r="B503" s="625"/>
      <c r="C503" s="624"/>
      <c r="D503" s="625"/>
      <c r="E503" s="626"/>
      <c r="F503" s="165"/>
      <c r="G503" s="580"/>
      <c r="H503" s="299"/>
      <c r="I503" s="580"/>
      <c r="J503" s="580"/>
      <c r="K503" s="580"/>
      <c r="L503" s="580"/>
      <c r="M503" s="580"/>
      <c r="N503" s="580"/>
      <c r="O503" s="580"/>
      <c r="P503" s="580"/>
    </row>
    <row r="504" spans="1:16" ht="14.4">
      <c r="A504" s="624"/>
      <c r="B504" s="625"/>
      <c r="C504" s="624"/>
      <c r="D504" s="625"/>
      <c r="E504" s="626"/>
      <c r="F504" s="165"/>
      <c r="G504" s="580"/>
      <c r="H504" s="299"/>
      <c r="I504" s="580"/>
      <c r="J504" s="580"/>
      <c r="K504" s="580"/>
      <c r="L504" s="580"/>
      <c r="M504" s="580"/>
      <c r="N504" s="580"/>
      <c r="O504" s="580"/>
      <c r="P504" s="580"/>
    </row>
    <row r="505" spans="1:16" ht="14.4">
      <c r="A505" s="624"/>
      <c r="B505" s="625"/>
      <c r="C505" s="624"/>
      <c r="D505" s="625"/>
      <c r="E505" s="626"/>
      <c r="F505" s="165"/>
      <c r="G505" s="580"/>
      <c r="H505" s="299"/>
      <c r="I505" s="580"/>
      <c r="J505" s="580"/>
      <c r="K505" s="580"/>
      <c r="L505" s="580"/>
      <c r="M505" s="580"/>
      <c r="N505" s="580"/>
      <c r="O505" s="580"/>
      <c r="P505" s="580"/>
    </row>
    <row r="506" spans="1:16" ht="14.4">
      <c r="A506" s="624"/>
      <c r="B506" s="625"/>
      <c r="C506" s="624"/>
      <c r="D506" s="625"/>
      <c r="E506" s="626"/>
      <c r="F506" s="165"/>
      <c r="G506" s="580"/>
      <c r="H506" s="299"/>
      <c r="I506" s="580"/>
      <c r="J506" s="580"/>
      <c r="K506" s="580"/>
      <c r="L506" s="580"/>
      <c r="M506" s="580"/>
      <c r="N506" s="580"/>
      <c r="O506" s="580"/>
      <c r="P506" s="580"/>
    </row>
    <row r="507" spans="1:16" ht="14.4">
      <c r="A507" s="624"/>
      <c r="B507" s="625"/>
      <c r="C507" s="624"/>
      <c r="D507" s="625"/>
      <c r="E507" s="626"/>
      <c r="F507" s="165"/>
      <c r="G507" s="580"/>
      <c r="H507" s="299"/>
      <c r="I507" s="580"/>
      <c r="J507" s="580"/>
      <c r="K507" s="580"/>
      <c r="L507" s="580"/>
      <c r="M507" s="580"/>
      <c r="N507" s="580"/>
      <c r="O507" s="580"/>
      <c r="P507" s="580"/>
    </row>
    <row r="508" spans="1:16" ht="14.4">
      <c r="A508" s="624"/>
      <c r="B508" s="625"/>
      <c r="C508" s="624"/>
      <c r="D508" s="625"/>
      <c r="E508" s="626"/>
      <c r="F508" s="165"/>
      <c r="G508" s="580"/>
      <c r="H508" s="299"/>
      <c r="I508" s="580"/>
      <c r="J508" s="580"/>
      <c r="K508" s="580"/>
      <c r="L508" s="580"/>
      <c r="M508" s="580"/>
      <c r="N508" s="580"/>
      <c r="O508" s="580"/>
      <c r="P508" s="580"/>
    </row>
    <row r="509" spans="1:16" ht="14.4">
      <c r="A509" s="624"/>
      <c r="B509" s="625"/>
      <c r="C509" s="624"/>
      <c r="D509" s="625"/>
      <c r="E509" s="626"/>
      <c r="F509" s="165"/>
      <c r="G509" s="580"/>
      <c r="H509" s="299"/>
      <c r="I509" s="580"/>
      <c r="J509" s="580"/>
      <c r="K509" s="580"/>
      <c r="L509" s="580"/>
      <c r="M509" s="580"/>
      <c r="N509" s="580"/>
      <c r="O509" s="580"/>
      <c r="P509" s="580"/>
    </row>
    <row r="510" spans="1:16" ht="14.4">
      <c r="A510" s="624"/>
      <c r="B510" s="625"/>
      <c r="C510" s="624"/>
      <c r="D510" s="625"/>
      <c r="E510" s="626"/>
      <c r="F510" s="165"/>
      <c r="G510" s="580"/>
      <c r="H510" s="299"/>
      <c r="I510" s="580"/>
      <c r="J510" s="580"/>
      <c r="K510" s="580"/>
      <c r="L510" s="580"/>
      <c r="M510" s="580"/>
      <c r="N510" s="580"/>
      <c r="O510" s="580"/>
      <c r="P510" s="580"/>
    </row>
    <row r="511" spans="1:16" ht="14.4">
      <c r="A511" s="624"/>
      <c r="B511" s="625"/>
      <c r="C511" s="624"/>
      <c r="D511" s="625"/>
      <c r="E511" s="626"/>
      <c r="F511" s="165"/>
      <c r="G511" s="580"/>
      <c r="H511" s="299"/>
      <c r="I511" s="580"/>
      <c r="J511" s="580"/>
      <c r="K511" s="580"/>
      <c r="L511" s="580"/>
      <c r="M511" s="580"/>
      <c r="N511" s="580"/>
      <c r="O511" s="580"/>
      <c r="P511" s="580"/>
    </row>
    <row r="512" spans="1:16" ht="14.4">
      <c r="A512" s="624"/>
      <c r="B512" s="625"/>
      <c r="C512" s="624"/>
      <c r="D512" s="625"/>
      <c r="E512" s="626"/>
      <c r="F512" s="165"/>
      <c r="G512" s="580"/>
      <c r="H512" s="299"/>
      <c r="I512" s="580"/>
      <c r="J512" s="580"/>
      <c r="K512" s="580"/>
      <c r="L512" s="580"/>
      <c r="M512" s="580"/>
      <c r="N512" s="580"/>
      <c r="O512" s="580"/>
      <c r="P512" s="580"/>
    </row>
    <row r="513" spans="1:16" ht="14.4">
      <c r="A513" s="624"/>
      <c r="B513" s="625"/>
      <c r="C513" s="624"/>
      <c r="D513" s="625"/>
      <c r="E513" s="626"/>
      <c r="F513" s="165"/>
      <c r="G513" s="580"/>
      <c r="H513" s="299"/>
      <c r="I513" s="580"/>
      <c r="J513" s="580"/>
      <c r="K513" s="580"/>
      <c r="L513" s="580"/>
      <c r="M513" s="580"/>
      <c r="N513" s="580"/>
      <c r="O513" s="580"/>
      <c r="P513" s="580"/>
    </row>
    <row r="514" spans="1:16" ht="14.4">
      <c r="A514" s="624"/>
      <c r="B514" s="625"/>
      <c r="C514" s="624"/>
      <c r="D514" s="625"/>
      <c r="E514" s="626"/>
      <c r="F514" s="165"/>
      <c r="G514" s="580"/>
      <c r="H514" s="299"/>
      <c r="I514" s="580"/>
      <c r="J514" s="580"/>
      <c r="K514" s="580"/>
      <c r="L514" s="580"/>
      <c r="M514" s="580"/>
      <c r="N514" s="580"/>
      <c r="O514" s="580"/>
      <c r="P514" s="580"/>
    </row>
    <row r="515" spans="1:16" ht="14.4">
      <c r="A515" s="624"/>
      <c r="B515" s="625"/>
      <c r="C515" s="624"/>
      <c r="D515" s="625"/>
      <c r="E515" s="626"/>
      <c r="F515" s="165"/>
      <c r="G515" s="580"/>
      <c r="H515" s="299"/>
      <c r="I515" s="580"/>
      <c r="J515" s="580"/>
      <c r="K515" s="580"/>
      <c r="L515" s="580"/>
      <c r="M515" s="580"/>
      <c r="N515" s="580"/>
      <c r="O515" s="580"/>
      <c r="P515" s="580"/>
    </row>
    <row r="516" spans="1:16" ht="14.4">
      <c r="A516" s="624"/>
      <c r="B516" s="625"/>
      <c r="C516" s="624"/>
      <c r="D516" s="625"/>
      <c r="E516" s="626"/>
      <c r="F516" s="165"/>
      <c r="G516" s="580"/>
      <c r="H516" s="299"/>
      <c r="I516" s="580"/>
      <c r="J516" s="580"/>
      <c r="K516" s="580"/>
      <c r="L516" s="580"/>
      <c r="M516" s="580"/>
      <c r="N516" s="580"/>
      <c r="O516" s="580"/>
      <c r="P516" s="580"/>
    </row>
    <row r="517" spans="1:16" ht="14.4">
      <c r="A517" s="624"/>
      <c r="B517" s="625"/>
      <c r="C517" s="624"/>
      <c r="D517" s="625"/>
      <c r="E517" s="626"/>
      <c r="F517" s="165"/>
      <c r="G517" s="580"/>
      <c r="H517" s="299"/>
      <c r="I517" s="580"/>
      <c r="J517" s="580"/>
      <c r="K517" s="580"/>
      <c r="L517" s="580"/>
      <c r="M517" s="580"/>
      <c r="N517" s="580"/>
      <c r="O517" s="580"/>
      <c r="P517" s="580"/>
    </row>
    <row r="518" spans="1:16" ht="14.4">
      <c r="A518" s="624"/>
      <c r="B518" s="625"/>
      <c r="C518" s="624"/>
      <c r="D518" s="625"/>
      <c r="E518" s="626"/>
      <c r="F518" s="165"/>
      <c r="G518" s="580"/>
      <c r="H518" s="299"/>
      <c r="I518" s="580"/>
      <c r="J518" s="580"/>
      <c r="K518" s="580"/>
      <c r="L518" s="580"/>
      <c r="M518" s="580"/>
      <c r="N518" s="580"/>
      <c r="O518" s="580"/>
      <c r="P518" s="580"/>
    </row>
    <row r="519" spans="1:16" ht="14.4">
      <c r="A519" s="624"/>
      <c r="B519" s="625"/>
      <c r="C519" s="624"/>
      <c r="D519" s="625"/>
      <c r="E519" s="626"/>
      <c r="F519" s="165"/>
      <c r="G519" s="580"/>
      <c r="H519" s="299"/>
      <c r="I519" s="580"/>
      <c r="J519" s="580"/>
      <c r="K519" s="580"/>
      <c r="L519" s="580"/>
      <c r="M519" s="580"/>
      <c r="N519" s="580"/>
      <c r="O519" s="580"/>
      <c r="P519" s="580"/>
    </row>
    <row r="520" spans="1:16" ht="14.4">
      <c r="A520" s="624"/>
      <c r="B520" s="625"/>
      <c r="C520" s="624"/>
      <c r="D520" s="625"/>
      <c r="E520" s="626"/>
      <c r="F520" s="165"/>
      <c r="G520" s="580"/>
      <c r="H520" s="299"/>
      <c r="I520" s="580"/>
      <c r="J520" s="580"/>
      <c r="K520" s="580"/>
      <c r="L520" s="580"/>
      <c r="M520" s="580"/>
      <c r="N520" s="580"/>
      <c r="O520" s="580"/>
      <c r="P520" s="580"/>
    </row>
    <row r="521" spans="1:16" ht="14.4">
      <c r="A521" s="624"/>
      <c r="B521" s="625"/>
      <c r="C521" s="624"/>
      <c r="D521" s="625"/>
      <c r="E521" s="626"/>
      <c r="F521" s="165"/>
      <c r="G521" s="580"/>
      <c r="H521" s="299"/>
      <c r="I521" s="580"/>
      <c r="J521" s="580"/>
      <c r="K521" s="580"/>
      <c r="L521" s="580"/>
      <c r="M521" s="580"/>
      <c r="N521" s="580"/>
      <c r="O521" s="580"/>
      <c r="P521" s="580"/>
    </row>
    <row r="522" spans="1:16" ht="14.4">
      <c r="A522" s="624"/>
      <c r="B522" s="625"/>
      <c r="C522" s="624"/>
      <c r="D522" s="625"/>
      <c r="E522" s="626"/>
      <c r="F522" s="165"/>
      <c r="G522" s="580"/>
      <c r="H522" s="299"/>
      <c r="I522" s="580"/>
      <c r="J522" s="580"/>
      <c r="K522" s="580"/>
      <c r="L522" s="580"/>
      <c r="M522" s="580"/>
      <c r="N522" s="580"/>
      <c r="O522" s="580"/>
      <c r="P522" s="580"/>
    </row>
    <row r="523" spans="1:16" ht="14.4">
      <c r="A523" s="624"/>
      <c r="B523" s="625"/>
      <c r="C523" s="624"/>
      <c r="D523" s="625"/>
      <c r="E523" s="626"/>
      <c r="F523" s="165"/>
      <c r="G523" s="580"/>
      <c r="H523" s="299"/>
      <c r="I523" s="580"/>
      <c r="J523" s="580"/>
      <c r="K523" s="580"/>
      <c r="L523" s="580"/>
      <c r="M523" s="580"/>
      <c r="N523" s="580"/>
      <c r="O523" s="580"/>
      <c r="P523" s="580"/>
    </row>
    <row r="524" spans="1:16" ht="14.4">
      <c r="A524" s="624"/>
      <c r="B524" s="625"/>
      <c r="C524" s="624"/>
      <c r="D524" s="625"/>
      <c r="E524" s="626"/>
      <c r="F524" s="165"/>
      <c r="G524" s="580"/>
      <c r="H524" s="299"/>
      <c r="I524" s="580"/>
      <c r="J524" s="580"/>
      <c r="K524" s="580"/>
      <c r="L524" s="580"/>
      <c r="M524" s="580"/>
      <c r="N524" s="580"/>
      <c r="O524" s="580"/>
      <c r="P524" s="580"/>
    </row>
    <row r="525" spans="1:16" ht="14.4">
      <c r="A525" s="624"/>
      <c r="B525" s="625"/>
      <c r="C525" s="624"/>
      <c r="D525" s="625"/>
      <c r="E525" s="626"/>
      <c r="F525" s="165"/>
      <c r="G525" s="580"/>
      <c r="H525" s="299"/>
      <c r="I525" s="580"/>
      <c r="J525" s="580"/>
      <c r="K525" s="580"/>
      <c r="L525" s="580"/>
      <c r="M525" s="580"/>
      <c r="N525" s="580"/>
      <c r="O525" s="580"/>
      <c r="P525" s="580"/>
    </row>
    <row r="526" spans="1:16" ht="14.4">
      <c r="A526" s="624"/>
      <c r="B526" s="625"/>
      <c r="C526" s="624"/>
      <c r="D526" s="625"/>
      <c r="E526" s="626"/>
      <c r="F526" s="165"/>
      <c r="G526" s="580"/>
      <c r="H526" s="299"/>
      <c r="I526" s="580"/>
      <c r="J526" s="580"/>
      <c r="K526" s="580"/>
      <c r="L526" s="580"/>
      <c r="M526" s="580"/>
      <c r="N526" s="580"/>
      <c r="O526" s="580"/>
      <c r="P526" s="580"/>
    </row>
    <row r="527" spans="1:16" ht="14.4">
      <c r="A527" s="624"/>
      <c r="B527" s="625"/>
      <c r="C527" s="624"/>
      <c r="D527" s="625"/>
      <c r="E527" s="626"/>
      <c r="F527" s="165"/>
      <c r="G527" s="580"/>
      <c r="H527" s="299"/>
      <c r="I527" s="580"/>
      <c r="J527" s="580"/>
      <c r="K527" s="580"/>
      <c r="L527" s="580"/>
      <c r="M527" s="580"/>
      <c r="N527" s="580"/>
      <c r="O527" s="580"/>
      <c r="P527" s="580"/>
    </row>
    <row r="528" spans="1:16" ht="14.4">
      <c r="A528" s="624"/>
      <c r="B528" s="625"/>
      <c r="C528" s="624"/>
      <c r="D528" s="625"/>
      <c r="E528" s="626"/>
      <c r="F528" s="165"/>
      <c r="G528" s="580"/>
      <c r="H528" s="299"/>
      <c r="I528" s="580"/>
      <c r="J528" s="580"/>
      <c r="K528" s="580"/>
      <c r="L528" s="580"/>
      <c r="M528" s="580"/>
      <c r="N528" s="580"/>
      <c r="O528" s="580"/>
      <c r="P528" s="580"/>
    </row>
    <row r="529" spans="1:16" ht="14.4">
      <c r="A529" s="624"/>
      <c r="B529" s="625"/>
      <c r="C529" s="624"/>
      <c r="D529" s="625"/>
      <c r="E529" s="626"/>
      <c r="F529" s="165"/>
      <c r="G529" s="580"/>
      <c r="H529" s="299"/>
      <c r="I529" s="580"/>
      <c r="J529" s="580"/>
      <c r="K529" s="580"/>
      <c r="L529" s="580"/>
      <c r="M529" s="580"/>
      <c r="N529" s="580"/>
      <c r="O529" s="580"/>
      <c r="P529" s="580"/>
    </row>
    <row r="530" spans="1:16" ht="14.4">
      <c r="A530" s="624"/>
      <c r="B530" s="625"/>
      <c r="C530" s="624"/>
      <c r="D530" s="625"/>
      <c r="E530" s="626"/>
      <c r="F530" s="165"/>
      <c r="G530" s="580"/>
      <c r="H530" s="299"/>
      <c r="I530" s="580"/>
      <c r="J530" s="580"/>
      <c r="K530" s="580"/>
      <c r="L530" s="580"/>
      <c r="M530" s="580"/>
      <c r="N530" s="580"/>
      <c r="O530" s="580"/>
      <c r="P530" s="580"/>
    </row>
    <row r="531" spans="1:16" ht="14.4">
      <c r="A531" s="624"/>
      <c r="B531" s="625"/>
      <c r="C531" s="624"/>
      <c r="D531" s="625"/>
      <c r="E531" s="626"/>
      <c r="F531" s="165"/>
      <c r="G531" s="580"/>
      <c r="H531" s="299"/>
      <c r="I531" s="580"/>
      <c r="J531" s="580"/>
      <c r="K531" s="580"/>
      <c r="L531" s="580"/>
      <c r="M531" s="580"/>
      <c r="N531" s="580"/>
      <c r="O531" s="580"/>
      <c r="P531" s="580"/>
    </row>
    <row r="532" spans="1:16" ht="14.4">
      <c r="A532" s="624"/>
      <c r="B532" s="625"/>
      <c r="C532" s="624"/>
      <c r="D532" s="625"/>
      <c r="E532" s="626"/>
      <c r="F532" s="165"/>
      <c r="G532" s="580"/>
      <c r="H532" s="299"/>
      <c r="I532" s="580"/>
      <c r="J532" s="580"/>
      <c r="K532" s="580"/>
      <c r="L532" s="580"/>
      <c r="M532" s="580"/>
      <c r="N532" s="580"/>
      <c r="O532" s="580"/>
      <c r="P532" s="580"/>
    </row>
    <row r="533" spans="1:16" ht="14.4">
      <c r="A533" s="624"/>
      <c r="B533" s="625"/>
      <c r="C533" s="624"/>
      <c r="D533" s="625"/>
      <c r="E533" s="626"/>
      <c r="F533" s="165"/>
      <c r="G533" s="580"/>
      <c r="H533" s="299"/>
      <c r="I533" s="580"/>
      <c r="J533" s="580"/>
      <c r="K533" s="580"/>
      <c r="L533" s="580"/>
      <c r="M533" s="580"/>
      <c r="N533" s="580"/>
      <c r="O533" s="580"/>
      <c r="P533" s="580"/>
    </row>
    <row r="534" spans="1:16" ht="14.4">
      <c r="A534" s="624"/>
      <c r="B534" s="625"/>
      <c r="C534" s="624"/>
      <c r="D534" s="625"/>
      <c r="E534" s="626"/>
      <c r="F534" s="165"/>
      <c r="G534" s="580"/>
      <c r="H534" s="299"/>
      <c r="I534" s="580"/>
      <c r="J534" s="580"/>
      <c r="K534" s="580"/>
      <c r="L534" s="580"/>
      <c r="M534" s="580"/>
      <c r="N534" s="580"/>
      <c r="O534" s="580"/>
      <c r="P534" s="580"/>
    </row>
    <row r="535" spans="1:16" ht="14.4">
      <c r="A535" s="624"/>
      <c r="B535" s="625"/>
      <c r="C535" s="624"/>
      <c r="D535" s="625"/>
      <c r="E535" s="626"/>
      <c r="F535" s="165"/>
      <c r="G535" s="580"/>
      <c r="H535" s="299"/>
      <c r="I535" s="580"/>
      <c r="J535" s="580"/>
      <c r="K535" s="580"/>
      <c r="L535" s="580"/>
      <c r="M535" s="580"/>
      <c r="N535" s="580"/>
      <c r="O535" s="580"/>
      <c r="P535" s="580"/>
    </row>
    <row r="536" spans="1:16" ht="14.4">
      <c r="A536" s="624"/>
      <c r="B536" s="625"/>
      <c r="C536" s="624"/>
      <c r="D536" s="625"/>
      <c r="E536" s="626"/>
      <c r="F536" s="165"/>
      <c r="G536" s="580"/>
      <c r="H536" s="299"/>
      <c r="I536" s="580"/>
      <c r="J536" s="580"/>
      <c r="K536" s="580"/>
      <c r="L536" s="580"/>
      <c r="M536" s="580"/>
      <c r="N536" s="580"/>
      <c r="O536" s="580"/>
      <c r="P536" s="580"/>
    </row>
    <row r="537" spans="1:16" ht="14.4">
      <c r="A537" s="624"/>
      <c r="B537" s="625"/>
      <c r="C537" s="624"/>
      <c r="D537" s="625"/>
      <c r="E537" s="626"/>
      <c r="F537" s="165"/>
      <c r="G537" s="580"/>
      <c r="H537" s="299"/>
      <c r="I537" s="580"/>
      <c r="J537" s="580"/>
      <c r="K537" s="580"/>
      <c r="L537" s="580"/>
      <c r="M537" s="580"/>
      <c r="N537" s="580"/>
      <c r="O537" s="580"/>
      <c r="P537" s="580"/>
    </row>
    <row r="538" spans="1:16" ht="14.4">
      <c r="A538" s="624"/>
      <c r="B538" s="625"/>
      <c r="C538" s="624"/>
      <c r="D538" s="625"/>
      <c r="E538" s="626"/>
      <c r="F538" s="165"/>
      <c r="G538" s="580"/>
      <c r="H538" s="299"/>
      <c r="I538" s="580"/>
      <c r="J538" s="580"/>
      <c r="K538" s="580"/>
      <c r="L538" s="580"/>
      <c r="M538" s="580"/>
      <c r="N538" s="580"/>
      <c r="O538" s="580"/>
      <c r="P538" s="580"/>
    </row>
    <row r="539" spans="1:16" ht="14.4">
      <c r="A539" s="624"/>
      <c r="B539" s="625"/>
      <c r="C539" s="624"/>
      <c r="D539" s="625"/>
      <c r="E539" s="626"/>
      <c r="F539" s="165"/>
      <c r="G539" s="580"/>
      <c r="H539" s="299"/>
      <c r="I539" s="580"/>
      <c r="J539" s="580"/>
      <c r="K539" s="580"/>
      <c r="L539" s="580"/>
      <c r="M539" s="580"/>
      <c r="N539" s="580"/>
      <c r="O539" s="580"/>
      <c r="P539" s="580"/>
    </row>
    <row r="540" spans="1:16" ht="14.4">
      <c r="A540" s="624"/>
      <c r="B540" s="625"/>
      <c r="C540" s="624"/>
      <c r="D540" s="625"/>
      <c r="E540" s="626"/>
      <c r="F540" s="165"/>
      <c r="G540" s="580"/>
      <c r="H540" s="299"/>
      <c r="I540" s="580"/>
      <c r="J540" s="580"/>
      <c r="K540" s="580"/>
      <c r="L540" s="580"/>
      <c r="M540" s="580"/>
      <c r="N540" s="580"/>
      <c r="O540" s="580"/>
      <c r="P540" s="580"/>
    </row>
    <row r="541" spans="1:16" ht="14.4">
      <c r="A541" s="624"/>
      <c r="B541" s="625"/>
      <c r="C541" s="624"/>
      <c r="D541" s="625"/>
      <c r="E541" s="626"/>
      <c r="F541" s="165"/>
      <c r="G541" s="580"/>
      <c r="H541" s="299"/>
      <c r="I541" s="580"/>
      <c r="J541" s="580"/>
      <c r="K541" s="580"/>
      <c r="L541" s="580"/>
      <c r="M541" s="580"/>
      <c r="N541" s="580"/>
      <c r="O541" s="580"/>
      <c r="P541" s="580"/>
    </row>
    <row r="542" spans="1:16" ht="14.4">
      <c r="A542" s="624"/>
      <c r="B542" s="625"/>
      <c r="C542" s="624"/>
      <c r="D542" s="625"/>
      <c r="E542" s="626"/>
      <c r="F542" s="165"/>
      <c r="G542" s="580"/>
      <c r="H542" s="299"/>
      <c r="I542" s="580"/>
      <c r="J542" s="580"/>
      <c r="K542" s="580"/>
      <c r="L542" s="580"/>
      <c r="M542" s="580"/>
      <c r="N542" s="580"/>
      <c r="O542" s="580"/>
      <c r="P542" s="580"/>
    </row>
    <row r="543" spans="1:16" ht="14.4">
      <c r="A543" s="624"/>
      <c r="B543" s="625"/>
      <c r="C543" s="624"/>
      <c r="D543" s="625"/>
      <c r="E543" s="626"/>
      <c r="F543" s="165"/>
      <c r="G543" s="580"/>
      <c r="H543" s="299"/>
      <c r="I543" s="580"/>
      <c r="J543" s="580"/>
      <c r="K543" s="580"/>
      <c r="L543" s="580"/>
      <c r="M543" s="580"/>
      <c r="N543" s="580"/>
      <c r="O543" s="580"/>
      <c r="P543" s="580"/>
    </row>
    <row r="544" spans="1:16" ht="14.4">
      <c r="A544" s="624"/>
      <c r="B544" s="625"/>
      <c r="C544" s="624"/>
      <c r="D544" s="625"/>
      <c r="E544" s="626"/>
      <c r="F544" s="165"/>
      <c r="G544" s="580"/>
      <c r="H544" s="299"/>
      <c r="I544" s="580"/>
      <c r="J544" s="580"/>
      <c r="K544" s="580"/>
      <c r="L544" s="580"/>
      <c r="M544" s="580"/>
      <c r="N544" s="580"/>
      <c r="O544" s="580"/>
      <c r="P544" s="580"/>
    </row>
    <row r="545" spans="1:16" ht="14.4">
      <c r="A545" s="624"/>
      <c r="B545" s="625"/>
      <c r="C545" s="624"/>
      <c r="D545" s="625"/>
      <c r="E545" s="626"/>
      <c r="F545" s="165"/>
      <c r="G545" s="580"/>
      <c r="H545" s="299"/>
      <c r="I545" s="580"/>
      <c r="J545" s="580"/>
      <c r="K545" s="580"/>
      <c r="L545" s="580"/>
      <c r="M545" s="580"/>
      <c r="N545" s="580"/>
      <c r="O545" s="580"/>
      <c r="P545" s="580"/>
    </row>
    <row r="546" spans="1:16" ht="14.4">
      <c r="A546" s="624"/>
      <c r="B546" s="625"/>
      <c r="C546" s="624"/>
      <c r="D546" s="625"/>
      <c r="E546" s="626"/>
      <c r="F546" s="165"/>
      <c r="G546" s="580"/>
      <c r="H546" s="299"/>
      <c r="I546" s="580"/>
      <c r="J546" s="580"/>
      <c r="K546" s="580"/>
      <c r="L546" s="580"/>
      <c r="M546" s="580"/>
      <c r="N546" s="580"/>
      <c r="O546" s="580"/>
      <c r="P546" s="580"/>
    </row>
    <row r="547" spans="1:16" ht="14.4">
      <c r="A547" s="624"/>
      <c r="B547" s="625"/>
      <c r="C547" s="624"/>
      <c r="D547" s="625"/>
      <c r="E547" s="626"/>
      <c r="F547" s="165"/>
      <c r="G547" s="580"/>
      <c r="H547" s="299"/>
      <c r="I547" s="580"/>
      <c r="J547" s="580"/>
      <c r="K547" s="580"/>
      <c r="L547" s="580"/>
      <c r="M547" s="580"/>
      <c r="N547" s="580"/>
      <c r="O547" s="580"/>
      <c r="P547" s="580"/>
    </row>
    <row r="548" spans="1:16" ht="14.4">
      <c r="A548" s="624"/>
      <c r="B548" s="625"/>
      <c r="C548" s="624"/>
      <c r="D548" s="625"/>
      <c r="E548" s="626"/>
      <c r="F548" s="165"/>
      <c r="G548" s="580"/>
      <c r="H548" s="299"/>
      <c r="I548" s="580"/>
      <c r="J548" s="580"/>
      <c r="K548" s="580"/>
      <c r="L548" s="580"/>
      <c r="M548" s="580"/>
      <c r="N548" s="580"/>
      <c r="O548" s="580"/>
      <c r="P548" s="580"/>
    </row>
    <row r="549" spans="1:16" ht="14.4">
      <c r="A549" s="624"/>
      <c r="B549" s="625"/>
      <c r="C549" s="624"/>
      <c r="D549" s="625"/>
      <c r="E549" s="626"/>
      <c r="F549" s="165"/>
      <c r="G549" s="580"/>
      <c r="H549" s="299"/>
      <c r="I549" s="580"/>
      <c r="J549" s="580"/>
      <c r="K549" s="580"/>
      <c r="L549" s="580"/>
      <c r="M549" s="580"/>
      <c r="N549" s="580"/>
      <c r="O549" s="580"/>
      <c r="P549" s="580"/>
    </row>
    <row r="550" spans="1:16" ht="14.4">
      <c r="A550" s="624"/>
      <c r="B550" s="625"/>
      <c r="C550" s="624"/>
      <c r="D550" s="625"/>
      <c r="E550" s="626"/>
      <c r="F550" s="165"/>
      <c r="G550" s="580"/>
      <c r="H550" s="299"/>
      <c r="I550" s="580"/>
      <c r="J550" s="580"/>
      <c r="K550" s="580"/>
      <c r="L550" s="580"/>
      <c r="M550" s="580"/>
      <c r="N550" s="580"/>
      <c r="O550" s="580"/>
      <c r="P550" s="580"/>
    </row>
    <row r="551" spans="1:16" ht="14.4">
      <c r="A551" s="627"/>
      <c r="B551" s="628"/>
      <c r="C551" s="627"/>
      <c r="D551" s="628"/>
      <c r="E551" s="629"/>
      <c r="F551" s="165"/>
      <c r="G551" s="580"/>
      <c r="H551" s="299"/>
      <c r="I551" s="580"/>
      <c r="J551" s="580"/>
      <c r="K551" s="580"/>
      <c r="L551" s="580"/>
      <c r="M551" s="580"/>
      <c r="N551" s="580"/>
      <c r="O551" s="580"/>
      <c r="P551" s="580"/>
    </row>
    <row r="552" spans="1:16" ht="14.4"/>
    <row r="553" spans="1:16" ht="14.4"/>
    <row r="554" spans="1:16" ht="14.4"/>
    <row r="555" spans="1:16" ht="14.4"/>
    <row r="556" spans="1:16" ht="14.4"/>
    <row r="557" spans="1:16" ht="14.4"/>
    <row r="558" spans="1:16" ht="14.4"/>
    <row r="559" spans="1:16" ht="14.4"/>
    <row r="560" spans="1:16" ht="14.4"/>
    <row r="561" ht="14.4"/>
    <row r="562" ht="14.4"/>
    <row r="563" ht="14.4"/>
    <row r="564" ht="14.4"/>
    <row r="565" ht="14.4"/>
    <row r="566" ht="14.4"/>
    <row r="567" ht="14.4"/>
    <row r="568" ht="14.4"/>
    <row r="569" ht="14.4"/>
    <row r="570" ht="14.4"/>
    <row r="571" ht="14.4"/>
    <row r="572" ht="14.4"/>
    <row r="573" ht="14.4"/>
    <row r="574" ht="14.4"/>
    <row r="575" ht="14.4"/>
    <row r="576" ht="14.4"/>
    <row r="577" ht="14.4"/>
    <row r="578" ht="14.4"/>
    <row r="579" ht="14.4"/>
    <row r="580" ht="14.4"/>
    <row r="581" ht="14.4"/>
    <row r="582" ht="14.4"/>
    <row r="583" ht="14.4"/>
    <row r="584" ht="14.4"/>
    <row r="585" ht="14.4"/>
    <row r="586" ht="14.4"/>
    <row r="587" ht="14.4"/>
    <row r="588" ht="14.4"/>
    <row r="589" ht="14.4"/>
    <row r="590" ht="14.4"/>
    <row r="591" ht="14.4"/>
    <row r="592" ht="14.4"/>
    <row r="593" ht="14.4"/>
    <row r="594" ht="14.4"/>
    <row r="595" ht="14.4"/>
    <row r="596" ht="14.4"/>
    <row r="597" ht="14.4"/>
    <row r="598" ht="14.4"/>
    <row r="599" ht="14.4"/>
    <row r="600" ht="14.4"/>
    <row r="601" ht="14.4"/>
    <row r="602" ht="14.4"/>
    <row r="603" ht="14.4"/>
    <row r="604" ht="14.4"/>
    <row r="605" ht="14.4"/>
    <row r="606" ht="14.4"/>
    <row r="607" ht="14.4"/>
    <row r="608" ht="14.4"/>
    <row r="609" ht="14.4"/>
    <row r="610" ht="14.4"/>
    <row r="611" ht="14.4"/>
    <row r="612" ht="14.4"/>
    <row r="613" ht="14.4"/>
    <row r="614" ht="14.4"/>
    <row r="615" ht="14.4"/>
    <row r="616" ht="14.4"/>
    <row r="617" ht="14.4"/>
    <row r="618" ht="14.4"/>
    <row r="619" ht="14.4"/>
    <row r="620" ht="14.4"/>
    <row r="621" ht="14.4"/>
    <row r="622" ht="14.4"/>
    <row r="623" ht="14.4"/>
    <row r="624" ht="14.4"/>
    <row r="625" ht="14.4"/>
    <row r="626" ht="14.4"/>
    <row r="627" ht="14.4"/>
    <row r="628" ht="14.4"/>
    <row r="629" ht="14.4"/>
    <row r="630" ht="14.4"/>
    <row r="631" ht="14.4"/>
    <row r="632" ht="14.4"/>
    <row r="633" ht="14.4"/>
    <row r="634" ht="14.4"/>
    <row r="635" ht="14.4"/>
    <row r="636" ht="14.4"/>
    <row r="637" ht="14.4"/>
    <row r="638" ht="14.4"/>
    <row r="639" ht="14.4"/>
    <row r="640" ht="14.4"/>
    <row r="641" ht="14.4"/>
    <row r="642" ht="14.4"/>
    <row r="643" ht="14.4"/>
    <row r="644" ht="14.4"/>
    <row r="645" ht="14.4"/>
    <row r="646" ht="14.4"/>
    <row r="647" ht="14.4"/>
    <row r="648" ht="14.4"/>
    <row r="649" ht="14.4"/>
    <row r="650" ht="14.4"/>
    <row r="651" ht="14.4"/>
    <row r="652" ht="14.4"/>
    <row r="653" ht="14.4"/>
    <row r="654" ht="14.4"/>
    <row r="655" ht="14.4"/>
    <row r="656" ht="14.4"/>
    <row r="657" ht="14.4"/>
    <row r="658" ht="14.4"/>
    <row r="659" ht="14.4"/>
    <row r="660" ht="14.4"/>
    <row r="661" ht="14.4"/>
    <row r="662" ht="14.4"/>
    <row r="663" ht="14.4"/>
    <row r="664" ht="14.4"/>
    <row r="665" ht="14.4"/>
    <row r="666" ht="14.4"/>
    <row r="667" ht="14.4"/>
    <row r="668" ht="14.4"/>
    <row r="669" ht="14.4"/>
    <row r="670" ht="14.4"/>
    <row r="671" ht="14.4"/>
    <row r="672" ht="14.4"/>
    <row r="673" ht="14.4"/>
    <row r="674" ht="14.4"/>
    <row r="675" ht="14.4"/>
    <row r="676" ht="14.4"/>
    <row r="677" ht="14.4"/>
    <row r="678" ht="14.4"/>
    <row r="679" ht="14.4"/>
    <row r="680" ht="14.4"/>
    <row r="681" ht="14.4"/>
    <row r="682" ht="14.4"/>
    <row r="683" ht="14.4"/>
    <row r="684" ht="14.4"/>
    <row r="685" ht="14.4"/>
    <row r="686" ht="14.4"/>
    <row r="687" ht="14.4"/>
    <row r="688" ht="14.4"/>
    <row r="689" ht="14.4"/>
    <row r="690" ht="14.4"/>
    <row r="691" ht="14.4"/>
    <row r="692" ht="14.4"/>
    <row r="693" ht="14.4"/>
    <row r="694" ht="14.4"/>
    <row r="695" ht="14.4"/>
    <row r="696" ht="14.4"/>
    <row r="697" ht="14.4"/>
    <row r="698" ht="14.4"/>
    <row r="699" ht="14.4"/>
    <row r="700" ht="14.4"/>
    <row r="701" ht="14.4"/>
    <row r="702" ht="14.4"/>
    <row r="703" ht="14.4"/>
    <row r="704" ht="14.4"/>
    <row r="705" ht="14.4"/>
    <row r="706" ht="14.4"/>
    <row r="707" ht="14.4"/>
    <row r="708" ht="14.4"/>
    <row r="709" ht="14.4"/>
    <row r="710" ht="14.4"/>
    <row r="711" ht="14.4"/>
    <row r="712" ht="14.4"/>
    <row r="713" ht="14.4"/>
    <row r="714" ht="14.4"/>
    <row r="715" ht="14.4"/>
    <row r="716" ht="14.4"/>
    <row r="717" ht="14.4"/>
    <row r="718" ht="14.4"/>
    <row r="719" ht="14.4"/>
    <row r="720" ht="14.4"/>
    <row r="721" ht="14.4"/>
    <row r="722" ht="14.4"/>
    <row r="723" ht="14.4"/>
    <row r="724" ht="14.4"/>
    <row r="725" ht="14.4"/>
    <row r="726" ht="14.4"/>
    <row r="727" ht="14.4"/>
    <row r="728" ht="14.4"/>
    <row r="729" ht="14.4"/>
    <row r="730" ht="14.4"/>
    <row r="731" ht="14.4"/>
    <row r="732" ht="14.4"/>
    <row r="733" ht="14.4"/>
    <row r="734" ht="14.4"/>
    <row r="735" ht="14.4"/>
    <row r="736" ht="14.4"/>
    <row r="737" ht="14.4"/>
    <row r="738" ht="14.4"/>
    <row r="739" ht="14.4"/>
    <row r="740" ht="14.4"/>
    <row r="741" ht="14.4"/>
    <row r="742" ht="14.4"/>
    <row r="743" ht="14.4"/>
    <row r="744" ht="14.4"/>
    <row r="745" ht="14.4"/>
    <row r="746" ht="14.4"/>
    <row r="747" ht="14.4"/>
    <row r="748" ht="14.4"/>
    <row r="749" ht="14.4"/>
    <row r="750" ht="14.4"/>
    <row r="751" ht="14.4"/>
    <row r="752" ht="14.4"/>
    <row r="753" ht="14.4"/>
    <row r="754" ht="14.4"/>
    <row r="755" ht="14.4"/>
    <row r="756" ht="14.4"/>
    <row r="757" ht="14.4"/>
    <row r="758" ht="14.4"/>
    <row r="759" ht="14.4"/>
    <row r="760" ht="14.4"/>
    <row r="761" ht="14.4"/>
    <row r="762" ht="14.4"/>
    <row r="763" ht="14.4"/>
    <row r="764" ht="14.4"/>
    <row r="765" ht="14.4"/>
    <row r="766" ht="14.4"/>
    <row r="767" ht="14.4"/>
    <row r="768" ht="14.4"/>
    <row r="769" ht="14.4"/>
    <row r="770" ht="14.4"/>
    <row r="771" ht="14.4"/>
    <row r="772" ht="14.4"/>
    <row r="773" ht="14.4"/>
    <row r="774" ht="14.4"/>
    <row r="775" ht="14.4"/>
    <row r="776" ht="14.4"/>
    <row r="777" ht="14.4"/>
    <row r="778" ht="14.4"/>
    <row r="779" ht="14.4"/>
    <row r="780" ht="14.4"/>
    <row r="781" ht="14.4"/>
    <row r="782" ht="14.4"/>
    <row r="783" ht="14.4"/>
    <row r="784" ht="14.4"/>
    <row r="785" ht="14.4"/>
    <row r="786" ht="14.4"/>
    <row r="787" ht="14.4"/>
    <row r="788" ht="14.4"/>
    <row r="789" ht="14.4"/>
    <row r="790" ht="14.4"/>
    <row r="791" ht="14.4"/>
    <row r="792" ht="14.4"/>
    <row r="793" ht="14.4"/>
    <row r="794" ht="14.4"/>
    <row r="795" ht="14.4"/>
    <row r="796" ht="14.4"/>
    <row r="797" ht="14.4"/>
    <row r="798" ht="14.4"/>
    <row r="799" ht="14.4"/>
    <row r="800" ht="14.4"/>
    <row r="801" ht="14.4"/>
    <row r="802" ht="14.4"/>
    <row r="803" ht="14.4"/>
    <row r="804" ht="14.4"/>
    <row r="805" ht="14.4"/>
    <row r="806" ht="14.4"/>
    <row r="807" ht="14.4"/>
    <row r="808" ht="14.4"/>
    <row r="809" ht="14.4"/>
    <row r="810" ht="14.4"/>
    <row r="811" ht="14.4"/>
    <row r="812" ht="14.4"/>
    <row r="813" ht="14.4"/>
    <row r="814" ht="14.4"/>
    <row r="815" ht="14.4"/>
    <row r="816" ht="14.4"/>
    <row r="817" ht="14.4"/>
    <row r="818" ht="14.4"/>
    <row r="819" ht="14.4"/>
    <row r="820" ht="14.4"/>
    <row r="821" ht="14.4"/>
    <row r="822" ht="14.4"/>
    <row r="823" ht="14.4"/>
    <row r="824" ht="14.4"/>
    <row r="825" ht="14.4"/>
    <row r="826" ht="14.4"/>
    <row r="827" ht="14.4"/>
    <row r="828" ht="14.4"/>
    <row r="829" ht="14.4"/>
    <row r="830" ht="14.4"/>
    <row r="831" ht="14.4"/>
    <row r="832" ht="14.4"/>
    <row r="833" ht="14.4"/>
    <row r="834" ht="14.4"/>
    <row r="835" ht="14.4"/>
    <row r="836" ht="14.4"/>
    <row r="837" ht="14.4"/>
    <row r="838" ht="14.4"/>
    <row r="839" ht="14.4"/>
    <row r="840" ht="14.4"/>
    <row r="841" ht="14.4"/>
    <row r="842" ht="14.4"/>
    <row r="843" ht="14.4"/>
    <row r="844" ht="14.4"/>
    <row r="845" ht="14.4"/>
    <row r="846" ht="14.4"/>
    <row r="847" ht="14.4"/>
    <row r="848" ht="14.4"/>
    <row r="849" ht="14.4"/>
    <row r="850" ht="14.4"/>
    <row r="851" ht="14.4"/>
    <row r="852" ht="14.4"/>
    <row r="853" ht="14.4"/>
    <row r="854" ht="14.4"/>
    <row r="855" ht="14.4"/>
    <row r="856" ht="14.4"/>
    <row r="857" ht="14.4"/>
    <row r="858" ht="14.4"/>
    <row r="859" ht="14.4"/>
    <row r="860" ht="14.4"/>
    <row r="861" ht="14.4"/>
    <row r="862" ht="14.4"/>
    <row r="863" ht="14.4"/>
    <row r="864" ht="14.4"/>
    <row r="865" ht="14.4"/>
    <row r="866" ht="14.4"/>
    <row r="867" ht="14.4"/>
    <row r="868" ht="14.4"/>
    <row r="869" ht="14.4"/>
    <row r="870" ht="14.4"/>
    <row r="871" ht="14.4"/>
    <row r="872" ht="14.4"/>
    <row r="873" ht="14.4"/>
    <row r="874" ht="14.4"/>
    <row r="875" ht="14.4"/>
    <row r="876" ht="14.4"/>
    <row r="877" ht="14.4"/>
    <row r="878" ht="14.4"/>
    <row r="879" ht="14.4"/>
    <row r="880" ht="14.4"/>
    <row r="881" ht="14.4"/>
    <row r="882" ht="14.4"/>
    <row r="883" ht="14.4"/>
    <row r="884" ht="14.4"/>
    <row r="885" ht="14.4"/>
    <row r="886" ht="14.4"/>
    <row r="887" ht="14.4"/>
    <row r="888" ht="14.4"/>
    <row r="889" ht="14.4"/>
    <row r="890" ht="14.4"/>
    <row r="891" ht="14.4"/>
    <row r="892" ht="14.4"/>
    <row r="893" ht="14.4"/>
    <row r="894" ht="14.4"/>
    <row r="895" ht="14.4"/>
    <row r="896" ht="14.4"/>
    <row r="897" ht="14.4"/>
    <row r="898" ht="14.4"/>
    <row r="899" ht="14.4"/>
    <row r="900" ht="14.4"/>
    <row r="901" ht="14.4"/>
    <row r="902" ht="14.4"/>
    <row r="903" ht="14.4"/>
    <row r="904" ht="14.4"/>
    <row r="905" ht="14.4"/>
    <row r="906" ht="14.4"/>
    <row r="907" ht="14.4"/>
    <row r="908" ht="14.4"/>
    <row r="909" ht="14.4"/>
    <row r="910" ht="14.4"/>
    <row r="911" ht="14.4"/>
    <row r="912" ht="14.4"/>
    <row r="913" ht="14.4"/>
    <row r="914" ht="14.4"/>
    <row r="915" ht="14.4"/>
    <row r="916" ht="14.4"/>
    <row r="917" ht="14.4"/>
    <row r="918" ht="14.4"/>
    <row r="919" ht="14.4"/>
    <row r="920" ht="14.4"/>
    <row r="921" ht="14.4"/>
    <row r="922" ht="14.4"/>
    <row r="923" ht="14.4"/>
    <row r="924" ht="14.4"/>
    <row r="925" ht="14.4"/>
    <row r="926" ht="14.4"/>
    <row r="927" ht="14.4"/>
    <row r="928" ht="14.4"/>
    <row r="929" ht="14.4"/>
    <row r="930" ht="14.4"/>
    <row r="931" ht="14.4"/>
    <row r="932" ht="14.4"/>
    <row r="933" ht="14.4"/>
    <row r="934" ht="14.4"/>
    <row r="935" ht="14.4"/>
    <row r="936" ht="14.4"/>
    <row r="937" ht="14.4"/>
    <row r="938" ht="14.4"/>
    <row r="939" ht="14.4"/>
    <row r="940" ht="14.4"/>
    <row r="941" ht="14.4"/>
    <row r="942" ht="14.4"/>
    <row r="943" ht="14.4"/>
    <row r="944" ht="14.4"/>
    <row r="945" ht="14.4"/>
    <row r="946" ht="14.4"/>
    <row r="947" ht="14.4"/>
    <row r="948" ht="14.4"/>
    <row r="949" ht="14.4"/>
    <row r="950" ht="14.4"/>
    <row r="951" ht="14.4"/>
    <row r="952" ht="14.4"/>
    <row r="953" ht="14.4"/>
    <row r="954" ht="14.4"/>
    <row r="955" ht="14.4"/>
    <row r="956" ht="14.4"/>
    <row r="957" ht="14.4"/>
    <row r="958" ht="14.4"/>
    <row r="959" ht="14.4"/>
    <row r="960" ht="14.4"/>
    <row r="961" ht="14.4"/>
    <row r="962" ht="14.4"/>
    <row r="963" ht="14.4"/>
    <row r="964" ht="14.4"/>
    <row r="965" ht="14.4"/>
    <row r="966" ht="14.4"/>
    <row r="967" ht="14.4"/>
    <row r="968" ht="14.4"/>
    <row r="969" ht="14.4"/>
    <row r="970" ht="14.4"/>
    <row r="971" ht="14.4"/>
    <row r="972" ht="14.4"/>
    <row r="973" ht="14.4"/>
    <row r="974" ht="14.4"/>
    <row r="975" ht="14.4"/>
    <row r="976" ht="14.4"/>
    <row r="977" ht="14.4"/>
    <row r="978" ht="14.4"/>
    <row r="979" ht="14.4"/>
    <row r="980" ht="14.4"/>
    <row r="981" ht="14.4"/>
    <row r="982" ht="14.4"/>
    <row r="983" ht="14.4"/>
    <row r="984" ht="14.4"/>
    <row r="985" ht="14.4"/>
    <row r="986" ht="14.4"/>
    <row r="987" ht="14.4"/>
    <row r="988" ht="14.4"/>
    <row r="989" ht="14.4"/>
    <row r="990" ht="14.4"/>
    <row r="991" ht="14.4"/>
    <row r="992" ht="14.4"/>
    <row r="993" ht="14.4"/>
    <row r="994" ht="14.4"/>
    <row r="995" ht="14.4"/>
    <row r="996" ht="14.4"/>
    <row r="997" ht="14.4"/>
    <row r="998" ht="14.4"/>
    <row r="999" ht="14.4"/>
    <row r="1000" ht="14.4"/>
    <row r="1001" ht="14.4"/>
    <row r="1002" ht="14.4"/>
    <row r="1003" ht="14.4"/>
    <row r="1004" ht="14.4"/>
    <row r="1005" ht="14.4"/>
    <row r="1006" ht="14.4"/>
    <row r="1007" ht="14.4"/>
    <row r="1008" ht="14.4"/>
    <row r="1009" ht="14.4"/>
    <row r="1010" ht="14.4"/>
    <row r="1011" ht="14.4"/>
    <row r="1012" ht="14.4"/>
    <row r="1013" ht="14.4"/>
    <row r="1014" ht="14.4"/>
    <row r="1015" ht="14.4"/>
    <row r="1016" ht="14.4"/>
    <row r="1017" ht="14.4"/>
    <row r="1018" ht="14.4"/>
    <row r="1019" ht="14.4"/>
    <row r="1020" ht="14.4"/>
    <row r="1021" ht="14.4"/>
    <row r="1022" ht="14.4"/>
    <row r="1023" ht="14.4"/>
    <row r="1024" ht="14.4"/>
    <row r="1025" ht="14.4"/>
    <row r="1026" ht="14.4"/>
    <row r="1027" ht="14.4"/>
    <row r="1028" ht="14.4"/>
    <row r="1029" ht="14.4"/>
    <row r="1030" ht="14.4"/>
    <row r="1031" ht="14.4"/>
    <row r="1032" ht="14.4"/>
    <row r="1033" ht="14.4"/>
    <row r="1034" ht="14.4"/>
    <row r="1035" ht="14.4"/>
    <row r="1036" ht="14.4"/>
    <row r="1037" ht="14.4"/>
    <row r="1038" ht="14.4"/>
    <row r="1039" ht="14.4"/>
    <row r="1040" ht="14.4"/>
    <row r="1041" ht="14.4"/>
    <row r="1042" ht="14.4"/>
    <row r="1043" ht="14.4"/>
    <row r="1044" ht="14.4"/>
    <row r="1045" ht="14.4"/>
    <row r="1046" ht="14.4"/>
    <row r="1047" ht="14.4"/>
    <row r="1048" ht="14.4"/>
    <row r="1049" ht="14.4"/>
    <row r="1050" ht="14.4"/>
    <row r="1051" ht="14.4"/>
    <row r="1052" ht="14.4"/>
    <row r="1053" ht="14.4"/>
    <row r="1054" ht="14.4"/>
    <row r="1055" ht="14.4"/>
    <row r="1056" ht="14.4"/>
    <row r="1057" ht="14.4"/>
    <row r="1058" ht="14.4"/>
    <row r="1059" ht="14.4"/>
    <row r="1060" ht="14.4"/>
    <row r="1061" ht="14.4"/>
    <row r="1062" ht="14.4"/>
    <row r="1063" ht="14.4"/>
    <row r="1064" ht="14.4"/>
    <row r="1065" ht="14.4"/>
    <row r="1066" ht="14.4"/>
    <row r="1067" ht="14.4"/>
    <row r="1068" ht="14.4"/>
    <row r="1069" ht="14.4"/>
    <row r="1070" ht="14.4"/>
    <row r="1071" ht="14.4"/>
    <row r="1072" ht="14.4"/>
    <row r="1073" ht="14.4"/>
    <row r="1074" ht="14.4"/>
    <row r="1075" ht="14.4"/>
    <row r="1076" ht="14.4"/>
    <row r="1077" ht="14.4"/>
    <row r="1078" ht="14.4"/>
    <row r="1079" ht="14.4"/>
    <row r="1080" ht="14.4"/>
    <row r="1081" ht="14.4"/>
    <row r="1082" ht="14.4"/>
    <row r="1083" ht="14.4"/>
    <row r="1084" ht="14.4"/>
    <row r="1085" ht="14.4"/>
    <row r="1086" ht="14.4"/>
    <row r="1087" ht="14.4"/>
    <row r="1088" ht="14.4"/>
    <row r="1089" ht="14.4"/>
    <row r="1090" ht="14.4"/>
    <row r="1091" ht="14.4"/>
    <row r="1092" ht="14.4"/>
    <row r="1093" ht="14.4"/>
    <row r="1094" ht="14.4"/>
    <row r="1095" ht="14.4"/>
    <row r="1096" ht="14.4"/>
    <row r="1097" ht="14.4"/>
    <row r="1098" ht="14.4"/>
    <row r="1099" ht="14.4"/>
    <row r="1100" ht="14.4"/>
    <row r="1101" ht="14.4"/>
    <row r="1102" ht="14.4"/>
    <row r="1103" ht="14.4"/>
    <row r="1104" ht="14.4"/>
    <row r="1105" ht="14.4"/>
    <row r="1106" ht="14.4"/>
    <row r="1107" ht="14.4"/>
    <row r="1108" ht="14.4"/>
    <row r="1109" ht="14.4"/>
    <row r="1110" ht="14.4"/>
    <row r="1111" ht="14.4"/>
    <row r="1112" ht="14.4"/>
    <row r="1113" ht="14.4"/>
    <row r="1114" ht="14.4"/>
    <row r="1115" ht="14.4"/>
    <row r="1116" ht="14.4"/>
    <row r="1117" ht="14.4"/>
    <row r="1118" ht="14.4"/>
    <row r="1119" ht="14.4"/>
    <row r="1120" ht="14.4"/>
    <row r="1121" ht="14.4"/>
    <row r="1122" ht="14.4"/>
    <row r="1123" ht="14.4"/>
    <row r="1124" ht="14.4"/>
    <row r="1125" ht="14.4"/>
    <row r="1126" ht="14.4"/>
    <row r="1127" ht="14.4"/>
    <row r="1128" ht="14.4"/>
    <row r="1129" ht="14.4"/>
    <row r="1130" ht="14.4"/>
    <row r="1131" ht="14.4"/>
    <row r="1132" ht="14.4"/>
    <row r="1133" ht="14.4"/>
    <row r="1134" ht="14.4"/>
    <row r="1135" ht="14.4"/>
    <row r="1136" ht="14.4"/>
    <row r="1137" ht="14.4"/>
    <row r="1138" ht="14.4"/>
    <row r="1139" ht="14.4"/>
    <row r="1140" ht="14.4"/>
    <row r="1141" ht="14.4"/>
    <row r="1142" ht="14.4"/>
    <row r="1143" ht="14.4"/>
    <row r="1144" ht="14.4"/>
    <row r="1145" ht="14.4"/>
    <row r="1146" ht="14.4"/>
    <row r="1147" ht="14.4"/>
    <row r="1148" ht="14.4"/>
    <row r="1149" ht="14.4"/>
    <row r="1150" ht="14.4"/>
    <row r="1151" ht="14.4"/>
    <row r="1152" ht="14.4"/>
    <row r="1153" ht="14.4"/>
    <row r="1154" ht="14.4"/>
    <row r="1155" ht="14.4"/>
    <row r="1156" ht="14.4"/>
    <row r="1157" ht="14.4"/>
    <row r="1158" ht="14.4"/>
    <row r="1159" ht="14.4"/>
    <row r="1160" ht="14.4"/>
    <row r="1161" ht="14.4"/>
    <row r="1162" ht="14.4"/>
    <row r="1163" ht="14.4"/>
    <row r="1164" ht="14.4"/>
    <row r="1165" ht="14.4"/>
    <row r="1166" ht="14.4"/>
    <row r="1167" ht="14.4"/>
    <row r="1168" ht="14.4"/>
    <row r="1169" ht="14.4"/>
    <row r="1170" ht="14.4"/>
    <row r="1171" ht="14.4"/>
    <row r="1172" ht="14.4"/>
    <row r="1173" ht="14.4"/>
    <row r="1174" ht="14.4"/>
    <row r="1175" ht="14.4"/>
    <row r="1176" ht="14.4"/>
    <row r="1177" ht="14.4"/>
    <row r="1178" ht="14.4"/>
    <row r="1179" ht="14.4"/>
    <row r="1180" ht="14.4"/>
    <row r="1181" ht="14.4"/>
    <row r="1182" ht="14.4"/>
    <row r="1183" ht="14.4"/>
    <row r="1184" ht="14.4"/>
    <row r="1185" ht="14.4"/>
    <row r="1186" ht="14.4"/>
    <row r="1187" ht="14.4"/>
    <row r="1188" ht="14.4"/>
    <row r="1189" ht="14.4"/>
    <row r="1190" ht="14.4"/>
    <row r="1191" ht="14.4"/>
    <row r="1192" ht="14.4"/>
    <row r="1193" ht="14.4"/>
    <row r="1194" ht="14.4"/>
    <row r="1195" ht="14.4"/>
    <row r="1196" ht="14.4"/>
    <row r="1197" ht="14.4"/>
    <row r="1198" ht="14.4"/>
    <row r="1199" ht="14.4"/>
    <row r="1200" ht="14.4"/>
    <row r="1201" ht="14.4"/>
    <row r="1202" ht="14.4"/>
    <row r="1203" ht="14.4"/>
    <row r="1204" ht="14.4"/>
    <row r="1205" ht="14.4"/>
    <row r="1206" ht="14.4"/>
    <row r="1207" ht="14.4"/>
    <row r="1208" ht="14.4"/>
    <row r="1209" ht="14.4"/>
    <row r="1210" ht="14.4"/>
    <row r="1211" ht="14.4"/>
    <row r="1212" ht="14.4"/>
    <row r="1213" ht="14.4"/>
    <row r="1214" ht="14.4"/>
    <row r="1215" ht="14.4"/>
    <row r="1216" ht="14.4"/>
    <row r="1217" ht="14.4"/>
    <row r="1218" ht="14.4"/>
    <row r="1219" ht="14.4"/>
    <row r="1220" ht="14.4"/>
    <row r="1221" ht="14.4"/>
    <row r="1222" ht="14.4"/>
    <row r="1223" ht="14.4"/>
    <row r="1224" ht="14.4"/>
    <row r="1225" ht="14.4"/>
    <row r="1226" ht="14.4"/>
    <row r="1227" ht="14.4"/>
    <row r="1228" ht="14.4"/>
    <row r="1229" ht="14.4"/>
    <row r="1230" ht="14.4"/>
    <row r="1231" ht="14.4"/>
    <row r="1232" ht="14.4"/>
    <row r="1233" ht="14.4"/>
    <row r="1234" ht="14.4"/>
    <row r="1235" ht="14.4"/>
    <row r="1236" ht="14.4"/>
    <row r="1237" ht="14.4"/>
    <row r="1238" ht="14.4"/>
    <row r="1239" ht="14.4"/>
    <row r="1240" ht="14.4"/>
    <row r="1241" ht="14.4"/>
    <row r="1242" ht="14.4"/>
    <row r="1243" ht="14.4"/>
    <row r="1244" ht="14.4"/>
    <row r="1245" ht="14.4"/>
    <row r="1246" ht="14.4"/>
    <row r="1247" ht="14.4"/>
    <row r="1248" ht="14.4"/>
    <row r="1249" ht="14.4"/>
    <row r="1250" ht="14.4"/>
    <row r="1251" ht="14.4"/>
    <row r="1252" ht="14.4"/>
    <row r="1253" ht="14.4"/>
    <row r="1254" ht="14.4"/>
    <row r="1255" ht="14.4"/>
    <row r="1256" ht="14.4"/>
    <row r="1257" ht="14.4"/>
    <row r="1258" ht="14.4"/>
    <row r="1259" ht="14.4"/>
    <row r="1260" ht="14.4"/>
    <row r="1261" ht="14.4"/>
    <row r="1262" ht="14.4"/>
    <row r="1263" ht="14.4"/>
    <row r="1264" ht="14.4"/>
    <row r="1265" ht="14.4"/>
    <row r="1266" ht="14.4"/>
    <row r="1267" ht="14.4"/>
    <row r="1268" ht="14.4"/>
    <row r="1269" ht="14.4"/>
    <row r="1270" ht="14.4"/>
    <row r="1271" ht="14.4"/>
    <row r="1272" ht="14.4"/>
    <row r="1273" ht="14.4"/>
    <row r="1274" ht="14.4"/>
    <row r="1275" ht="14.4"/>
    <row r="1276" ht="14.4"/>
    <row r="1277" ht="14.4"/>
    <row r="1278" ht="14.4"/>
    <row r="1279" ht="14.4"/>
    <row r="1280" ht="14.4"/>
    <row r="1281" ht="14.4"/>
    <row r="1282" ht="14.4"/>
    <row r="1283" ht="14.4"/>
    <row r="1284" ht="14.4"/>
    <row r="1285" ht="14.4"/>
    <row r="1286" ht="14.4"/>
    <row r="1287" ht="14.4"/>
    <row r="1288" ht="14.4"/>
    <row r="1289" ht="14.4"/>
    <row r="1290" ht="14.4"/>
    <row r="1291" ht="14.4"/>
    <row r="1292" ht="14.4"/>
    <row r="1293" ht="14.4"/>
    <row r="1294" ht="14.4"/>
    <row r="1295" ht="14.4"/>
    <row r="1296" ht="14.4"/>
    <row r="1297" ht="14.4"/>
    <row r="1298" ht="14.4"/>
    <row r="1299" ht="14.4"/>
    <row r="1300" ht="14.4"/>
    <row r="1301" ht="14.4"/>
    <row r="1302" ht="14.4"/>
    <row r="1303" ht="14.4"/>
    <row r="1304" ht="14.4"/>
    <row r="1305" ht="14.4"/>
    <row r="1306" ht="14.4"/>
    <row r="1307" ht="14.4"/>
    <row r="1308" ht="14.4"/>
    <row r="1309" ht="14.4"/>
    <row r="1310" ht="14.4"/>
    <row r="1311" ht="14.4"/>
    <row r="1312" ht="14.4"/>
    <row r="1313" ht="14.4"/>
    <row r="1314" ht="14.4"/>
    <row r="1315" ht="14.4"/>
    <row r="1316" ht="14.4"/>
    <row r="1317" ht="14.4"/>
    <row r="1318" ht="14.4"/>
    <row r="1319" ht="14.4"/>
    <row r="1320" ht="14.4"/>
    <row r="1321" ht="14.4"/>
    <row r="1322" ht="14.4"/>
    <row r="1323" ht="14.4"/>
    <row r="1324" ht="14.4"/>
    <row r="1325" ht="14.4"/>
    <row r="1326" ht="14.4"/>
    <row r="1327" ht="14.4"/>
    <row r="1328" ht="14.4"/>
    <row r="1329" ht="14.4"/>
    <row r="1330" ht="14.4"/>
    <row r="1331" ht="14.4"/>
    <row r="1332" ht="14.4"/>
    <row r="1333" ht="14.4"/>
    <row r="1334" ht="14.4"/>
    <row r="1335" ht="14.4"/>
    <row r="1336" ht="14.4"/>
    <row r="1337" ht="14.4"/>
    <row r="1338" ht="14.4"/>
    <row r="1339" ht="14.4"/>
    <row r="1340" ht="14.4"/>
    <row r="1341" ht="14.4"/>
    <row r="1342" ht="14.4"/>
    <row r="1343" ht="14.4"/>
    <row r="1344" ht="14.4"/>
    <row r="1345" ht="14.4"/>
    <row r="1346" ht="14.4"/>
    <row r="1347" ht="14.4"/>
    <row r="1348" ht="14.4"/>
    <row r="1349" ht="14.4"/>
    <row r="1350" ht="14.4"/>
    <row r="1351" ht="14.4"/>
    <row r="1352" ht="14.4"/>
    <row r="1353" ht="14.4"/>
    <row r="1354" ht="14.4"/>
    <row r="1355" ht="14.4"/>
    <row r="1356" ht="14.4"/>
    <row r="1357" ht="14.4"/>
    <row r="1358" ht="14.4"/>
    <row r="1359" ht="14.4"/>
    <row r="1360" ht="14.4"/>
    <row r="1361" ht="14.4"/>
    <row r="1362" ht="14.4"/>
    <row r="1363" ht="14.4"/>
    <row r="1364" ht="14.4"/>
    <row r="1365" ht="14.4"/>
    <row r="1366" ht="14.4"/>
    <row r="1367" ht="14.4"/>
    <row r="1368" ht="14.4"/>
    <row r="1369" ht="14.4"/>
    <row r="1370" ht="14.4"/>
    <row r="1371" ht="14.4"/>
    <row r="1372" ht="14.4"/>
    <row r="1373" ht="14.4"/>
    <row r="1374" ht="14.4"/>
    <row r="1375" ht="14.4"/>
    <row r="1376" ht="14.4"/>
    <row r="1377" ht="14.4"/>
    <row r="1378" ht="14.4"/>
    <row r="1379" ht="14.4"/>
    <row r="1380" ht="14.4"/>
    <row r="1381" ht="14.4"/>
    <row r="1382" ht="14.4"/>
    <row r="1383" ht="14.4"/>
    <row r="1384" ht="14.4"/>
    <row r="1385" ht="14.4"/>
    <row r="1386" ht="14.4"/>
    <row r="1387" ht="14.4"/>
    <row r="1388" ht="14.4"/>
    <row r="1389" ht="14.4"/>
    <row r="1390" ht="14.4"/>
    <row r="1391" ht="14.4"/>
    <row r="1392" ht="14.4"/>
    <row r="1393" ht="14.4"/>
    <row r="1394" ht="14.4"/>
    <row r="1395" ht="14.4"/>
    <row r="1396" ht="14.4"/>
    <row r="1397" ht="14.4"/>
    <row r="1398" ht="14.4"/>
    <row r="1399" ht="14.4"/>
    <row r="1400" ht="14.4"/>
    <row r="1401" ht="14.4"/>
    <row r="1402" ht="14.4"/>
    <row r="1403" ht="14.4"/>
    <row r="1404" ht="14.4"/>
    <row r="1405" ht="14.4"/>
    <row r="1406" ht="14.4"/>
    <row r="1407" ht="14.4"/>
    <row r="1408" ht="14.4"/>
    <row r="1409" ht="14.4"/>
    <row r="1410" ht="14.4"/>
    <row r="1411" ht="14.4"/>
    <row r="1412" ht="14.4"/>
    <row r="1413" ht="14.4"/>
    <row r="1414" ht="14.4"/>
    <row r="1415" ht="14.4"/>
    <row r="1416" ht="14.4"/>
    <row r="1417" ht="14.4"/>
    <row r="1418" ht="14.4"/>
    <row r="1419" ht="14.4"/>
    <row r="1420" ht="14.4"/>
    <row r="1421" ht="14.4"/>
    <row r="1422" ht="14.4"/>
    <row r="1423" ht="14.4"/>
    <row r="1424" ht="14.4"/>
    <row r="1425" ht="14.4"/>
    <row r="1426" ht="14.4"/>
    <row r="1427" ht="14.4"/>
    <row r="1428" ht="14.4"/>
    <row r="1429" ht="14.4"/>
    <row r="1430" ht="14.4"/>
    <row r="1431" ht="14.4"/>
    <row r="1432" ht="14.4"/>
    <row r="1433" ht="14.4"/>
    <row r="1434" ht="14.4"/>
    <row r="1435" ht="14.4"/>
    <row r="1436" ht="14.4"/>
    <row r="1437" ht="14.4"/>
    <row r="1438" ht="14.4"/>
    <row r="1439" ht="14.4"/>
    <row r="1440" ht="14.4"/>
    <row r="1441" ht="14.4"/>
    <row r="1442" ht="14.4"/>
    <row r="1443" ht="14.4"/>
    <row r="1444" ht="14.4"/>
    <row r="1445" ht="14.4"/>
    <row r="1446" ht="14.4"/>
    <row r="1447" ht="14.4"/>
    <row r="1448" ht="14.4"/>
    <row r="1449" ht="14.4"/>
    <row r="1450" ht="14.4"/>
    <row r="1451" ht="14.4"/>
    <row r="1452" ht="14.4"/>
    <row r="1453" ht="14.4"/>
    <row r="1454" ht="14.4"/>
    <row r="1455" ht="14.4"/>
    <row r="1456" ht="14.4"/>
    <row r="1457" ht="14.4"/>
    <row r="1458" ht="14.4"/>
    <row r="1459" ht="14.4"/>
    <row r="1460" ht="14.4"/>
    <row r="1461" ht="14.4"/>
    <row r="1462" ht="14.4"/>
    <row r="1463" ht="14.4"/>
    <row r="1464" ht="14.4"/>
    <row r="1465" ht="14.4"/>
    <row r="1466" ht="14.4"/>
    <row r="1467" ht="14.4"/>
    <row r="1468" ht="14.4"/>
    <row r="1469" ht="14.4"/>
    <row r="1470" ht="14.4"/>
    <row r="1471" ht="14.4"/>
    <row r="1472" ht="14.4"/>
    <row r="1473" ht="14.4"/>
    <row r="1474" ht="14.4"/>
    <row r="1475" ht="14.4"/>
    <row r="1476" ht="14.4"/>
    <row r="1477" ht="14.4"/>
    <row r="1478" ht="14.4"/>
    <row r="1479" ht="14.4"/>
    <row r="1480" ht="14.4"/>
    <row r="1481" ht="14.4"/>
    <row r="1482" ht="14.4"/>
    <row r="1483" ht="14.4"/>
    <row r="1484" ht="14.4"/>
    <row r="1485" ht="14.4"/>
    <row r="1486" ht="14.4"/>
    <row r="1487" ht="14.4"/>
    <row r="1488" ht="14.4"/>
    <row r="1489" ht="14.4"/>
    <row r="1490" ht="14.4"/>
    <row r="1491" ht="14.4"/>
    <row r="1492" ht="14.4"/>
    <row r="1493" ht="14.4"/>
    <row r="1494" ht="14.4"/>
    <row r="1495" ht="14.4"/>
    <row r="1496" ht="14.4"/>
    <row r="1497" ht="14.4"/>
    <row r="1498" ht="14.4"/>
    <row r="1499" ht="14.4"/>
    <row r="1500" ht="14.4"/>
    <row r="1501" ht="14.4"/>
    <row r="1502" ht="14.4"/>
    <row r="1503" ht="14.4"/>
    <row r="1504" ht="14.4"/>
    <row r="1505" ht="14.4"/>
    <row r="1506" ht="14.4"/>
    <row r="1507" ht="14.4"/>
    <row r="1508" ht="14.4"/>
    <row r="1509" ht="14.4"/>
    <row r="1510" ht="14.4"/>
    <row r="1511" ht="14.4"/>
    <row r="1512" ht="14.4"/>
    <row r="1513" ht="14.4"/>
    <row r="1514" ht="14.4"/>
    <row r="1515" ht="14.4"/>
    <row r="1516" ht="14.4"/>
    <row r="1517" ht="14.4"/>
    <row r="1518" ht="14.4"/>
    <row r="1519" ht="14.4"/>
    <row r="1520" ht="14.4"/>
    <row r="1521" ht="14.4"/>
    <row r="1522" ht="14.4"/>
    <row r="1523" ht="14.4"/>
    <row r="1524" ht="14.4"/>
    <row r="1525" ht="14.4"/>
    <row r="1526" ht="14.4"/>
    <row r="1527" ht="14.4"/>
    <row r="1528" ht="14.4"/>
    <row r="1529" ht="14.4"/>
    <row r="1530" ht="14.4"/>
    <row r="1531" ht="14.4"/>
    <row r="1532" ht="14.4"/>
    <row r="1533" ht="14.4"/>
    <row r="1534" ht="14.4"/>
    <row r="1535" ht="14.4"/>
    <row r="1536" ht="14.4"/>
    <row r="1537" ht="14.4"/>
    <row r="1538" ht="14.4"/>
    <row r="1539" ht="14.4"/>
    <row r="1540" ht="14.4"/>
    <row r="1541" ht="14.4"/>
    <row r="1542" ht="14.4"/>
    <row r="1543" ht="14.4"/>
    <row r="1544" ht="14.4"/>
    <row r="1545" ht="14.4"/>
    <row r="1546" ht="14.4"/>
    <row r="1547" ht="14.4"/>
    <row r="1548" ht="14.4"/>
    <row r="1549" ht="14.4"/>
    <row r="1550" ht="14.4"/>
    <row r="1551" ht="14.4"/>
    <row r="1552" ht="14.4"/>
    <row r="1553" ht="14.4"/>
    <row r="1554" ht="14.4"/>
    <row r="1555" ht="14.4"/>
    <row r="1556" ht="14.4"/>
    <row r="1557" ht="14.4"/>
    <row r="1558" ht="14.4"/>
    <row r="1559" ht="14.4"/>
    <row r="1560" ht="14.4"/>
    <row r="1561" ht="14.4"/>
    <row r="1562" ht="14.4"/>
    <row r="1563" ht="14.4"/>
    <row r="1564" ht="14.4"/>
    <row r="1565" ht="14.4"/>
    <row r="1566" ht="14.4"/>
    <row r="1567" ht="14.4"/>
    <row r="1568" ht="14.4"/>
    <row r="1569" ht="14.4"/>
    <row r="1570" ht="14.4"/>
    <row r="1571" ht="14.4"/>
    <row r="1572" ht="14.4"/>
    <row r="1573" ht="14.4"/>
    <row r="1574" ht="14.4"/>
    <row r="1575" ht="14.4"/>
    <row r="1576" ht="14.4"/>
    <row r="1577" ht="14.4"/>
    <row r="1578" ht="14.4"/>
    <row r="1579" ht="14.4"/>
    <row r="1580" ht="14.4"/>
    <row r="1581" ht="14.4"/>
    <row r="1582" ht="14.4"/>
    <row r="1583" ht="14.4"/>
    <row r="1584" ht="14.4"/>
    <row r="1585" ht="14.4"/>
    <row r="1586" ht="14.4"/>
    <row r="1587" ht="14.4"/>
    <row r="1588" ht="14.4"/>
    <row r="1589" ht="14.4"/>
    <row r="1590" ht="14.4"/>
    <row r="1591" ht="14.4"/>
    <row r="1592" ht="14.4"/>
    <row r="1593" ht="14.4"/>
    <row r="1594" ht="14.4"/>
    <row r="1595" ht="14.4"/>
    <row r="1596" ht="14.4"/>
    <row r="1597" ht="14.4"/>
    <row r="1598" ht="14.4"/>
    <row r="1599" ht="14.4"/>
    <row r="1600" ht="14.4"/>
    <row r="1601" ht="14.4"/>
    <row r="1602" ht="14.4"/>
    <row r="1603" ht="14.4"/>
    <row r="1604" ht="14.4"/>
    <row r="1605" ht="14.4"/>
    <row r="1606" ht="14.4"/>
    <row r="1607" ht="14.4"/>
    <row r="1608" ht="14.4"/>
    <row r="1609" ht="14.4"/>
    <row r="1610" ht="14.4"/>
    <row r="1611" ht="14.4"/>
    <row r="1612" ht="14.4"/>
    <row r="1613" ht="14.4"/>
    <row r="1614" ht="14.4"/>
    <row r="1615" ht="14.4"/>
    <row r="1616" ht="14.4"/>
    <row r="1617" ht="14.4"/>
    <row r="1618" ht="14.4"/>
    <row r="1619" ht="14.4"/>
    <row r="1620" ht="14.4"/>
    <row r="1621" ht="14.4"/>
    <row r="1622" ht="14.4"/>
    <row r="1623" ht="14.4"/>
    <row r="1624" ht="14.4"/>
    <row r="1625" ht="14.4"/>
    <row r="1626" ht="14.4"/>
    <row r="1627" ht="14.4"/>
    <row r="1628" ht="14.4"/>
    <row r="1629" ht="14.4"/>
    <row r="1630" ht="14.4"/>
    <row r="1631" ht="14.4"/>
    <row r="1632" ht="14.4"/>
    <row r="1633" ht="14.4"/>
    <row r="1634" ht="14.4"/>
    <row r="1635" ht="14.4"/>
    <row r="1636" ht="14.4"/>
    <row r="1637" ht="14.4"/>
    <row r="1638" ht="14.4"/>
    <row r="1639" ht="14.4"/>
    <row r="1640" ht="14.4"/>
    <row r="1641" ht="14.4"/>
    <row r="1642" ht="14.4"/>
    <row r="1643" ht="14.4"/>
    <row r="1644" ht="14.4"/>
    <row r="1645" ht="14.4"/>
    <row r="1646" ht="14.4"/>
    <row r="1647" ht="14.4"/>
    <row r="1648" ht="14.4"/>
    <row r="1649" ht="14.4"/>
    <row r="1650" ht="14.4"/>
    <row r="1651" ht="14.4"/>
    <row r="1652" ht="14.4"/>
    <row r="1653" ht="14.4"/>
    <row r="1654" ht="14.4"/>
    <row r="1655" ht="14.4"/>
    <row r="1656" ht="14.4"/>
    <row r="1657" ht="14.4"/>
    <row r="1658" ht="14.4"/>
    <row r="1659" ht="14.4"/>
    <row r="1660" ht="14.4"/>
    <row r="1661" ht="14.4"/>
    <row r="1662" ht="14.4"/>
    <row r="1663" ht="14.4"/>
    <row r="1664" ht="14.4"/>
    <row r="1665" ht="14.4"/>
    <row r="1666" ht="14.4"/>
    <row r="1667" ht="14.4"/>
    <row r="1668" ht="14.4"/>
    <row r="1669" ht="14.4"/>
    <row r="1670" ht="14.4"/>
    <row r="1671" ht="14.4"/>
    <row r="1672" ht="14.4"/>
    <row r="1673" ht="14.4"/>
    <row r="1674" ht="14.4"/>
    <row r="1675" ht="14.4"/>
    <row r="1676" ht="14.4"/>
    <row r="1677" ht="14.4"/>
    <row r="1678" ht="14.4"/>
    <row r="1679" ht="14.4"/>
    <row r="1680" ht="14.4"/>
    <row r="1681" ht="14.4"/>
    <row r="1682" ht="14.4"/>
    <row r="1683" ht="14.4"/>
    <row r="1684" ht="14.4"/>
    <row r="1685" ht="14.4"/>
    <row r="1686" ht="14.4"/>
    <row r="1687" ht="14.4"/>
    <row r="1688" ht="14.4"/>
    <row r="1689" ht="14.4"/>
    <row r="1690" ht="14.4"/>
    <row r="1691" ht="14.4"/>
    <row r="1692" ht="14.4"/>
    <row r="1693" ht="14.4"/>
    <row r="1694" ht="14.4"/>
    <row r="1695" ht="14.4"/>
    <row r="1696" ht="14.4"/>
    <row r="1697" ht="14.4"/>
    <row r="1698" ht="14.4"/>
    <row r="1699" ht="14.4"/>
    <row r="1700" ht="14.4"/>
    <row r="1701" ht="14.4"/>
    <row r="1702" ht="14.4"/>
    <row r="1703" ht="14.4"/>
    <row r="1704" ht="14.4"/>
    <row r="1705" ht="14.4"/>
    <row r="1706" ht="14.4"/>
    <row r="1707" ht="14.4"/>
    <row r="1708" ht="14.4"/>
    <row r="1709" ht="14.4"/>
    <row r="1710" ht="14.4"/>
    <row r="1711" ht="14.4"/>
    <row r="1712" ht="14.4"/>
    <row r="1713" ht="14.4"/>
    <row r="1714" ht="14.4"/>
    <row r="1715" ht="14.4"/>
    <row r="1716" ht="14.4"/>
    <row r="1717" ht="14.4"/>
    <row r="1718" ht="14.4"/>
    <row r="1719" ht="14.4"/>
    <row r="1720" ht="14.4"/>
    <row r="1721" ht="14.4"/>
    <row r="1722" ht="14.4"/>
    <row r="1723" ht="14.4"/>
    <row r="1724" ht="14.4"/>
    <row r="1725" ht="14.4"/>
    <row r="1726" ht="14.4"/>
    <row r="1727" ht="14.4"/>
    <row r="1728" ht="14.4"/>
    <row r="1729" ht="14.4"/>
    <row r="1730" ht="14.4"/>
    <row r="1731" ht="14.4"/>
    <row r="1732" ht="14.4"/>
    <row r="1733" ht="14.4"/>
    <row r="1734" ht="14.4"/>
    <row r="1735" ht="14.4"/>
    <row r="1736" ht="14.4"/>
    <row r="1737" ht="14.4"/>
    <row r="1738" ht="14.4"/>
    <row r="1739" ht="14.4"/>
    <row r="1740" ht="14.4"/>
    <row r="1741" ht="14.4"/>
    <row r="1742" ht="14.4"/>
    <row r="1743" ht="14.4"/>
    <row r="1744" ht="14.4"/>
    <row r="1745" ht="14.4"/>
    <row r="1746" ht="14.4"/>
    <row r="1747" ht="14.4"/>
    <row r="1748" ht="14.4"/>
    <row r="1749" ht="14.4"/>
    <row r="1750" ht="14.4"/>
    <row r="1751" ht="14.4"/>
    <row r="1752" ht="14.4"/>
    <row r="1753" ht="14.4"/>
    <row r="1754" ht="14.4"/>
    <row r="1755" ht="14.4"/>
    <row r="1756" ht="14.4"/>
    <row r="1757" ht="14.4"/>
    <row r="1758" ht="14.4"/>
    <row r="1759" ht="14.4"/>
    <row r="1760" ht="14.4"/>
    <row r="1761" ht="14.4"/>
    <row r="1762" ht="14.4"/>
    <row r="1763" ht="14.4"/>
    <row r="1764" ht="14.4"/>
    <row r="1765" ht="14.4"/>
    <row r="1766" ht="14.4"/>
    <row r="1767" ht="14.4"/>
    <row r="1768" ht="14.4"/>
    <row r="1769" ht="14.4"/>
    <row r="1770" ht="14.4"/>
    <row r="1771" ht="14.4"/>
    <row r="1772" ht="14.4"/>
    <row r="1773" ht="14.4"/>
    <row r="1774" ht="14.4"/>
    <row r="1775" ht="14.4"/>
    <row r="1776" ht="14.4"/>
    <row r="1777" ht="14.4"/>
    <row r="1778" ht="14.4"/>
    <row r="1779" ht="14.4"/>
    <row r="1780" ht="14.4"/>
    <row r="1781" ht="14.4"/>
    <row r="1782" ht="14.4"/>
    <row r="1783" ht="14.4"/>
    <row r="1784" ht="14.4"/>
    <row r="1785" ht="14.4"/>
    <row r="1786" ht="14.4"/>
    <row r="1787" ht="14.4"/>
    <row r="1788" ht="14.4"/>
    <row r="1789" ht="14.4"/>
    <row r="1790" ht="14.4"/>
    <row r="1791" ht="14.4"/>
    <row r="1792" ht="14.4"/>
    <row r="1793" ht="14.4"/>
    <row r="1794" ht="14.4"/>
    <row r="1795" ht="14.4"/>
    <row r="1796" ht="14.4"/>
    <row r="1797" ht="14.4"/>
    <row r="1798" ht="14.4"/>
    <row r="1799" ht="14.4"/>
    <row r="1800" ht="14.4"/>
    <row r="1801" ht="14.4"/>
    <row r="1802" ht="14.4"/>
    <row r="1803" ht="14.4"/>
    <row r="1804" ht="14.4"/>
    <row r="1805" ht="14.4"/>
    <row r="1806" ht="14.4"/>
    <row r="1807" ht="14.4"/>
    <row r="1808" ht="14.4"/>
    <row r="1809" ht="14.4"/>
    <row r="1810" ht="14.4"/>
    <row r="1811" ht="14.4"/>
    <row r="1812" ht="14.4"/>
    <row r="1813" ht="14.4"/>
    <row r="1814" ht="14.4"/>
    <row r="1815" ht="14.4"/>
    <row r="1816" ht="14.4"/>
    <row r="1817" ht="14.4"/>
    <row r="1818" ht="14.4"/>
    <row r="1819" ht="14.4"/>
    <row r="1820" ht="14.4"/>
    <row r="1821" ht="14.4"/>
    <row r="1822" ht="14.4"/>
    <row r="1823" ht="14.4"/>
    <row r="1824" ht="14.4"/>
    <row r="1825" ht="14.4"/>
    <row r="1826" ht="14.4"/>
    <row r="1827" ht="14.4"/>
    <row r="1828" ht="14.4"/>
    <row r="1829" ht="14.4"/>
    <row r="1830" ht="14.4"/>
    <row r="1831" ht="14.4"/>
    <row r="1832" ht="14.4"/>
    <row r="1833" ht="14.4"/>
    <row r="1834" ht="14.4"/>
    <row r="1835" ht="14.4"/>
    <row r="1836" ht="14.4"/>
    <row r="1837" ht="14.4"/>
    <row r="1838" ht="14.4"/>
    <row r="1839" ht="14.4"/>
    <row r="1840" ht="14.4"/>
    <row r="1841" ht="14.4"/>
    <row r="1842" ht="14.4"/>
    <row r="1843" ht="14.4"/>
    <row r="1844" ht="14.4"/>
    <row r="1845" ht="14.4"/>
    <row r="1846" ht="14.4"/>
    <row r="1847" ht="14.4"/>
    <row r="1848" ht="14.4"/>
    <row r="1849" ht="14.4"/>
    <row r="1850" ht="14.4"/>
    <row r="1851" ht="14.4"/>
    <row r="1852" ht="14.4"/>
    <row r="1853" ht="14.4"/>
    <row r="1854" ht="14.4"/>
    <row r="1855" ht="14.4"/>
    <row r="1856" ht="14.4"/>
    <row r="1857" ht="14.4"/>
    <row r="1858" ht="14.4"/>
    <row r="1859" ht="14.4"/>
    <row r="1860" ht="14.4"/>
    <row r="1861" ht="14.4"/>
    <row r="1862" ht="14.4"/>
    <row r="1863" ht="14.4"/>
    <row r="1864" ht="14.4"/>
    <row r="1865" ht="14.4"/>
    <row r="1866" ht="14.4"/>
    <row r="1867" ht="14.4"/>
    <row r="1868" ht="14.4"/>
    <row r="1869" ht="14.4"/>
    <row r="1870" ht="14.4"/>
    <row r="1871" ht="14.4"/>
    <row r="1872" ht="14.4"/>
    <row r="1873" ht="14.4"/>
    <row r="1874" ht="14.4"/>
    <row r="1875" ht="14.4"/>
    <row r="1876" ht="14.4"/>
    <row r="1877" ht="14.4"/>
    <row r="1878" ht="14.4"/>
    <row r="1879" ht="14.4"/>
    <row r="1880" ht="14.4"/>
    <row r="1881" ht="14.4"/>
    <row r="1882" ht="14.4"/>
    <row r="1883" ht="14.4"/>
    <row r="1884" ht="14.4"/>
    <row r="1885" ht="14.4"/>
    <row r="1886" ht="14.4"/>
    <row r="1887" ht="14.4"/>
    <row r="1888" ht="14.4"/>
    <row r="1889" ht="14.4"/>
    <row r="1890" ht="14.4"/>
    <row r="1891" ht="14.4"/>
    <row r="1892" ht="14.4"/>
    <row r="1893" ht="14.4"/>
    <row r="1894" ht="14.4"/>
    <row r="1895" ht="14.4"/>
    <row r="1896" ht="14.4"/>
    <row r="1897" ht="14.4"/>
    <row r="1898" ht="14.4"/>
    <row r="1899" ht="14.4"/>
    <row r="1900" ht="14.4"/>
    <row r="1901" ht="14.4"/>
    <row r="1902" ht="14.4"/>
    <row r="1903" ht="14.4"/>
    <row r="1904" ht="14.4"/>
    <row r="1905" ht="14.4"/>
    <row r="1906" ht="14.4"/>
    <row r="1907" ht="14.4"/>
    <row r="1908" ht="14.4"/>
    <row r="1909" ht="14.4"/>
    <row r="1910" ht="14.4"/>
    <row r="1911" ht="14.4"/>
    <row r="1912" ht="14.4"/>
    <row r="1913" ht="14.4"/>
    <row r="1914" ht="14.4"/>
    <row r="1915" ht="14.4"/>
    <row r="1916" ht="14.4"/>
    <row r="1917" ht="14.4"/>
    <row r="1918" ht="14.4"/>
    <row r="1919" ht="14.4"/>
    <row r="1920" ht="14.4"/>
    <row r="1921" ht="14.4"/>
    <row r="1922" ht="14.4"/>
    <row r="1923" ht="14.4"/>
    <row r="1924" ht="14.4"/>
    <row r="1925" ht="14.4"/>
    <row r="1926" ht="14.4"/>
    <row r="1927" ht="14.4"/>
    <row r="1928" ht="14.4"/>
    <row r="1929" ht="14.4"/>
    <row r="1930" ht="14.4"/>
    <row r="1931" ht="14.4"/>
    <row r="1932" ht="14.4"/>
    <row r="1933" ht="14.4"/>
    <row r="1934" ht="14.4"/>
    <row r="1935" ht="14.4"/>
    <row r="1936" ht="14.4"/>
    <row r="1937" ht="14.4"/>
    <row r="1938" ht="14.4"/>
    <row r="1939" ht="14.4"/>
    <row r="1940" ht="14.4"/>
    <row r="1941" ht="14.4"/>
    <row r="1942" ht="14.4"/>
    <row r="1943" ht="14.4"/>
    <row r="1944" ht="14.4"/>
    <row r="1945" ht="14.4"/>
    <row r="1946" ht="14.4"/>
    <row r="1947" ht="14.4"/>
    <row r="1948" ht="14.4"/>
    <row r="1949" ht="14.4"/>
    <row r="1950" ht="14.4"/>
    <row r="1951" ht="14.4"/>
    <row r="1952" ht="14.4"/>
    <row r="1953" ht="14.4"/>
    <row r="1954" ht="14.4"/>
    <row r="1955" ht="14.4"/>
    <row r="1956" ht="14.4"/>
    <row r="1957" ht="14.4"/>
    <row r="1958" ht="14.4"/>
    <row r="1959" ht="14.4"/>
    <row r="1960" ht="14.4"/>
    <row r="1961" ht="14.4"/>
    <row r="1962" ht="14.4"/>
    <row r="1963" ht="14.4"/>
    <row r="1964" ht="14.4"/>
    <row r="1965" ht="14.4"/>
    <row r="1966" ht="14.4"/>
    <row r="1967" ht="14.4"/>
    <row r="1968" ht="14.4"/>
    <row r="1969" ht="14.4"/>
    <row r="1970" ht="14.4"/>
    <row r="1971" ht="14.4"/>
    <row r="1972" ht="14.4"/>
    <row r="1973" ht="14.4"/>
    <row r="1974" ht="14.4"/>
    <row r="1975" ht="14.4"/>
    <row r="1976" ht="14.4"/>
    <row r="1977" ht="14.4"/>
    <row r="1978" ht="14.4"/>
    <row r="1979" ht="14.4"/>
    <row r="1980" ht="14.4"/>
    <row r="1981" ht="14.4"/>
    <row r="1982" ht="14.4"/>
    <row r="1983" ht="14.4"/>
    <row r="1984" ht="14.4"/>
    <row r="1985" ht="14.4"/>
    <row r="1986" ht="14.4"/>
    <row r="1987" ht="14.4"/>
    <row r="1988" ht="14.4"/>
    <row r="1989" ht="14.4"/>
    <row r="1990" ht="14.4"/>
    <row r="1991" ht="14.4"/>
    <row r="1992" ht="14.4"/>
    <row r="1993" ht="14.4"/>
    <row r="1994" ht="14.4"/>
    <row r="1995" ht="14.4"/>
    <row r="1996" ht="14.4"/>
    <row r="1997" ht="14.4"/>
    <row r="1998" ht="14.4"/>
    <row r="1999" ht="14.4"/>
    <row r="2000" ht="14.4"/>
    <row r="2001" ht="14.4"/>
    <row r="2002" ht="14.4"/>
    <row r="2003" ht="14.4"/>
    <row r="2004" ht="14.4"/>
    <row r="2005" ht="14.4"/>
    <row r="2006" ht="14.4"/>
    <row r="2007" ht="14.4"/>
    <row r="2008" ht="14.4"/>
    <row r="2009" ht="14.4"/>
    <row r="2010" ht="14.4"/>
    <row r="2011" ht="14.4"/>
    <row r="2012" ht="14.4"/>
    <row r="2013" ht="14.4"/>
    <row r="2014" ht="14.4"/>
    <row r="2015" ht="14.4"/>
    <row r="2016" ht="14.4"/>
    <row r="2017" ht="14.4"/>
    <row r="2018" ht="14.4"/>
    <row r="2019" ht="14.4"/>
    <row r="2020" ht="14.4"/>
    <row r="2021" ht="14.4"/>
    <row r="2022" ht="14.4"/>
    <row r="2023" ht="14.4"/>
    <row r="2024" ht="14.4"/>
    <row r="2025" ht="14.4"/>
    <row r="2026" ht="14.4"/>
    <row r="2027" ht="14.4"/>
    <row r="2028" ht="14.4"/>
    <row r="2029" ht="14.4"/>
    <row r="2030" ht="14.4"/>
    <row r="2031" ht="14.4"/>
    <row r="2032" ht="14.4"/>
    <row r="2033" ht="14.4"/>
    <row r="2034" ht="14.4"/>
    <row r="2035" ht="14.4"/>
    <row r="2036" ht="14.4"/>
    <row r="2037" ht="14.4"/>
    <row r="2038" ht="14.4"/>
    <row r="2039" ht="14.4"/>
    <row r="2040" ht="14.4"/>
    <row r="2041" ht="14.4"/>
    <row r="2042" ht="14.4"/>
    <row r="2043" ht="14.4"/>
    <row r="2044" ht="14.4"/>
    <row r="2045" ht="14.4"/>
    <row r="2046" ht="14.4"/>
    <row r="2047" ht="14.4"/>
    <row r="2048" ht="14.4"/>
    <row r="2049" ht="14.4"/>
    <row r="2050" ht="14.4"/>
    <row r="2051" ht="14.4"/>
    <row r="2052" ht="14.4"/>
    <row r="2053" ht="14.4"/>
    <row r="2054" ht="14.4"/>
    <row r="2055" ht="14.4"/>
    <row r="2056" ht="14.4"/>
    <row r="2057" ht="14.4"/>
    <row r="2058" ht="14.4"/>
    <row r="2059" ht="14.4"/>
    <row r="2060" ht="14.4"/>
    <row r="2061" ht="14.4"/>
    <row r="2062" ht="14.4"/>
    <row r="2063" ht="14.4"/>
    <row r="2064" ht="14.4"/>
    <row r="2065" ht="14.4"/>
    <row r="2066" ht="14.4"/>
    <row r="2067" ht="14.4"/>
    <row r="2068" ht="14.4"/>
    <row r="2069" ht="14.4"/>
    <row r="2070" ht="14.4"/>
    <row r="2071" ht="14.4"/>
    <row r="2072" ht="14.4"/>
    <row r="2073" ht="14.4"/>
    <row r="2074" ht="14.4"/>
    <row r="2075" ht="14.4"/>
    <row r="2076" ht="14.4"/>
    <row r="2077" ht="14.4"/>
    <row r="2078" ht="14.4"/>
    <row r="2079" ht="14.4"/>
    <row r="2080" ht="14.4"/>
    <row r="2081" ht="14.4"/>
    <row r="2082" ht="14.4"/>
    <row r="2083" ht="14.4"/>
    <row r="2084" ht="14.4"/>
    <row r="2085" ht="14.4"/>
    <row r="2086" ht="14.4"/>
    <row r="2087" ht="14.4"/>
    <row r="2088" ht="14.4"/>
    <row r="2089" ht="14.4"/>
    <row r="2090" ht="14.4"/>
    <row r="2091" ht="14.4"/>
    <row r="2092" ht="14.4"/>
    <row r="2093" ht="14.4"/>
    <row r="2094" ht="14.4"/>
    <row r="2095" ht="14.4"/>
    <row r="2096" ht="14.4"/>
    <row r="2097" ht="14.4"/>
    <row r="2098" ht="14.4"/>
    <row r="2099" ht="14.4"/>
    <row r="2100" ht="14.4"/>
    <row r="2101" ht="14.4"/>
    <row r="2102" ht="14.4"/>
    <row r="2103" ht="14.4"/>
    <row r="2104" ht="14.4"/>
    <row r="2105" ht="14.4"/>
    <row r="2106" ht="14.4"/>
    <row r="2107" ht="14.4"/>
    <row r="2108" ht="14.4"/>
    <row r="2109" ht="14.4"/>
    <row r="2110" ht="14.4"/>
    <row r="2111" ht="14.4"/>
    <row r="2112" ht="14.4"/>
    <row r="2113" ht="14.4"/>
    <row r="2114" ht="14.4"/>
    <row r="2115" ht="14.4"/>
    <row r="2116" ht="14.4"/>
    <row r="2117" ht="14.4"/>
    <row r="2118" ht="14.4"/>
    <row r="2119" ht="14.4"/>
    <row r="2120" ht="14.4"/>
    <row r="2121" ht="14.4"/>
    <row r="2122" ht="14.4"/>
    <row r="2123" ht="14.4"/>
    <row r="2124" ht="14.4"/>
    <row r="2125" ht="14.4"/>
    <row r="2126" ht="14.4"/>
    <row r="2127" ht="14.4"/>
    <row r="2128" ht="14.4"/>
    <row r="2129" ht="14.4"/>
    <row r="2130" ht="14.4"/>
    <row r="2131" ht="14.4"/>
    <row r="2132" ht="14.4"/>
    <row r="2133" ht="14.4"/>
    <row r="2134" ht="14.4"/>
    <row r="2135" ht="14.4"/>
    <row r="2136" ht="14.4"/>
    <row r="2137" ht="14.4"/>
    <row r="2138" ht="14.4"/>
    <row r="2139" ht="14.4"/>
    <row r="2140" ht="14.4"/>
    <row r="2141" ht="14.4"/>
    <row r="2142" ht="14.4"/>
    <row r="2143" ht="14.4"/>
    <row r="2144" ht="14.4"/>
    <row r="2145" ht="14.4"/>
    <row r="2146" ht="14.4"/>
    <row r="2147" ht="14.4"/>
    <row r="2148" ht="14.4"/>
    <row r="2149" ht="14.4"/>
    <row r="2150" ht="14.4"/>
    <row r="2151" ht="14.4"/>
    <row r="2152" ht="14.4"/>
    <row r="2153" ht="14.4"/>
    <row r="2154" ht="14.4"/>
    <row r="2155" ht="14.4"/>
    <row r="2156" ht="14.4"/>
    <row r="2157" ht="14.4"/>
    <row r="2158" ht="14.4"/>
    <row r="2159" ht="14.4"/>
    <row r="2160" ht="14.4"/>
    <row r="2161" ht="14.4"/>
    <row r="2162" ht="14.4"/>
    <row r="2163" ht="14.4"/>
    <row r="2164" ht="14.4"/>
    <row r="2165" ht="14.4"/>
    <row r="2166" ht="14.4"/>
    <row r="2167" ht="14.4"/>
    <row r="2168" ht="14.4"/>
    <row r="2169" ht="14.4"/>
    <row r="2170" ht="14.4"/>
    <row r="2171" ht="14.4"/>
    <row r="2172" ht="14.4"/>
    <row r="2173" ht="14.4"/>
    <row r="2174" ht="14.4"/>
    <row r="2175" ht="14.4"/>
    <row r="2176" ht="14.4"/>
    <row r="2177" ht="14.4"/>
    <row r="2178" ht="14.4"/>
    <row r="2179" ht="14.4"/>
    <row r="2180" ht="14.4"/>
    <row r="2181" ht="14.4"/>
    <row r="2182" ht="14.4"/>
    <row r="2183" ht="14.4"/>
    <row r="2184" ht="14.4"/>
    <row r="2185" ht="14.4"/>
    <row r="2186" ht="14.4"/>
    <row r="2187" ht="14.4"/>
    <row r="2188" ht="14.4"/>
    <row r="2189" ht="14.4"/>
    <row r="2190" ht="14.4"/>
    <row r="2191" ht="14.4"/>
    <row r="2192" ht="14.4"/>
    <row r="2193" ht="14.4"/>
    <row r="2194" ht="14.4"/>
    <row r="2195" ht="14.4"/>
    <row r="2196" ht="14.4"/>
    <row r="2197" ht="14.4"/>
    <row r="2198" ht="14.4"/>
    <row r="2199" ht="14.4"/>
    <row r="2200" ht="14.4"/>
    <row r="2201" ht="14.4"/>
    <row r="2202" ht="14.4"/>
    <row r="2203" ht="14.4"/>
    <row r="2204" ht="14.4"/>
    <row r="2205" ht="14.4"/>
    <row r="2206" ht="14.4"/>
    <row r="2207" ht="14.4"/>
    <row r="2208" ht="14.4"/>
    <row r="2209" ht="14.4"/>
    <row r="2210" ht="14.4"/>
    <row r="2211" ht="14.4"/>
    <row r="2212" ht="14.4"/>
    <row r="2213" ht="14.4"/>
    <row r="2214" ht="14.4"/>
    <row r="2215" ht="14.4"/>
    <row r="2216" ht="14.4"/>
    <row r="2217" ht="14.4"/>
    <row r="2218" ht="14.4"/>
    <row r="2219" ht="14.4"/>
    <row r="2220" ht="14.4"/>
    <row r="2221" ht="14.4"/>
    <row r="2222" ht="14.4"/>
    <row r="2223" ht="14.4"/>
    <row r="2224" ht="14.4"/>
    <row r="2225" ht="14.4"/>
    <row r="2226" ht="14.4"/>
    <row r="2227" ht="14.4"/>
    <row r="2228" ht="14.4"/>
    <row r="2229" ht="14.4"/>
    <row r="2230" ht="14.4"/>
    <row r="2231" ht="14.4"/>
    <row r="2232" ht="14.4"/>
    <row r="2233" ht="14.4"/>
    <row r="2234" ht="14.4"/>
    <row r="2235" ht="14.4"/>
    <row r="2236" ht="14.4"/>
    <row r="2237" ht="14.4"/>
    <row r="2238" ht="14.4"/>
    <row r="2239" ht="14.4"/>
    <row r="2240" ht="14.4"/>
    <row r="2241" ht="14.4"/>
    <row r="2242" ht="14.4"/>
    <row r="2243" ht="14.4"/>
    <row r="2244" ht="14.4"/>
    <row r="2245" ht="14.4"/>
    <row r="2246" ht="14.4"/>
    <row r="2247" ht="14.4"/>
    <row r="2248" ht="14.4"/>
    <row r="2249" ht="14.4"/>
    <row r="2250" ht="14.4"/>
    <row r="2251" ht="14.4"/>
    <row r="2252" ht="14.4"/>
    <row r="2253" ht="14.4"/>
    <row r="2254" ht="14.4"/>
    <row r="2255" ht="14.4"/>
    <row r="2256" ht="14.4"/>
    <row r="2257" ht="14.4"/>
    <row r="2258" ht="14.4"/>
    <row r="2259" ht="14.4"/>
    <row r="2260" ht="14.4"/>
    <row r="2261" ht="14.4"/>
    <row r="2262" ht="14.4"/>
    <row r="2263" ht="14.4"/>
    <row r="2264" ht="14.4"/>
    <row r="2265" ht="14.4"/>
    <row r="2266" ht="14.4"/>
    <row r="2267" ht="14.4"/>
    <row r="2268" ht="14.4"/>
    <row r="2269" ht="14.4"/>
    <row r="2270" ht="14.4"/>
    <row r="2271" ht="14.4"/>
    <row r="2272" ht="14.4"/>
    <row r="2273" ht="14.4"/>
    <row r="2274" ht="14.4"/>
    <row r="2275" ht="14.4"/>
    <row r="2276" ht="14.4"/>
    <row r="2277" ht="14.4"/>
    <row r="2278" ht="14.4"/>
    <row r="2279" ht="14.4"/>
    <row r="2280" ht="14.4"/>
    <row r="2281" ht="14.4"/>
    <row r="2282" ht="14.4"/>
    <row r="2283" ht="14.4"/>
    <row r="2284" ht="14.4"/>
    <row r="2285" ht="14.4"/>
    <row r="2286" ht="14.4"/>
    <row r="2287" ht="14.4"/>
    <row r="2288" ht="14.4"/>
    <row r="2289" ht="14.4"/>
    <row r="2290" ht="14.4"/>
    <row r="2291" ht="14.4"/>
    <row r="2292" ht="14.4"/>
    <row r="2293" ht="14.4"/>
    <row r="2294" ht="14.4"/>
    <row r="2295" ht="14.4"/>
    <row r="2296" ht="14.4"/>
    <row r="2297" ht="14.4"/>
    <row r="2298" ht="14.4"/>
    <row r="2299" ht="14.4"/>
    <row r="2300" ht="14.4"/>
    <row r="2301" ht="14.4"/>
    <row r="2302" ht="14.4"/>
    <row r="2303" ht="14.4"/>
    <row r="2304" ht="14.4"/>
    <row r="2305" ht="14.4"/>
    <row r="2306" ht="14.4"/>
    <row r="2307" ht="14.4"/>
    <row r="2308" ht="14.4"/>
    <row r="2309" ht="14.4"/>
    <row r="2310" ht="14.4"/>
    <row r="2311" ht="14.4"/>
    <row r="2312" ht="14.4"/>
    <row r="2313" ht="14.4"/>
    <row r="2314" ht="14.4"/>
    <row r="2315" ht="14.4"/>
    <row r="2316" ht="14.4"/>
    <row r="2317" ht="14.4"/>
    <row r="2318" ht="14.4"/>
    <row r="2319" ht="14.4"/>
    <row r="2320" ht="14.4"/>
    <row r="2321" ht="14.4"/>
    <row r="2322" ht="14.4"/>
    <row r="2323" ht="14.4"/>
    <row r="2324" ht="14.4"/>
    <row r="2325" ht="14.4"/>
    <row r="2326" ht="14.4"/>
    <row r="2327" ht="14.4"/>
    <row r="2328" ht="14.4"/>
    <row r="2329" ht="14.4"/>
    <row r="2330" ht="14.4"/>
    <row r="2331" ht="14.4"/>
    <row r="2332" ht="14.4"/>
    <row r="2333" ht="14.4"/>
    <row r="2334" ht="14.4"/>
    <row r="2335" ht="14.4"/>
    <row r="2336" ht="14.4"/>
    <row r="2337" ht="14.4"/>
    <row r="2338" ht="14.4"/>
    <row r="2339" ht="14.4"/>
    <row r="2340" ht="14.4"/>
    <row r="2341" ht="14.4"/>
    <row r="2342" ht="14.4"/>
    <row r="2343" ht="14.4"/>
    <row r="2344" ht="14.4"/>
    <row r="2345" ht="14.4"/>
    <row r="2346" ht="14.4"/>
    <row r="2347" ht="14.4"/>
    <row r="2348" ht="14.4"/>
    <row r="2349" ht="14.4"/>
    <row r="2350" ht="14.4"/>
    <row r="2351" ht="14.4"/>
    <row r="2352" ht="14.4"/>
    <row r="2353" ht="14.4"/>
    <row r="2354" ht="14.4"/>
    <row r="2355" ht="14.4"/>
    <row r="2356" ht="14.4"/>
    <row r="2357" ht="14.4"/>
    <row r="2358" ht="14.4"/>
    <row r="2359" ht="14.4"/>
    <row r="2360" ht="14.4"/>
    <row r="2361" ht="14.4"/>
    <row r="2362" ht="14.4"/>
    <row r="2363" ht="14.4"/>
    <row r="2364" ht="14.4"/>
    <row r="2365" ht="14.4"/>
    <row r="2366" ht="14.4"/>
    <row r="2367" ht="14.4"/>
    <row r="2368" ht="14.4"/>
    <row r="2369" ht="14.4"/>
    <row r="2370" ht="14.4"/>
    <row r="2371" ht="14.4"/>
    <row r="2372" ht="14.4"/>
    <row r="2373" ht="14.4"/>
    <row r="2374" ht="14.4"/>
    <row r="2375" ht="14.4"/>
    <row r="2376" ht="14.4"/>
    <row r="2377" ht="14.4"/>
    <row r="2378" ht="14.4"/>
    <row r="2379" ht="14.4"/>
    <row r="2380" ht="14.4"/>
    <row r="2381" ht="14.4"/>
    <row r="2382" ht="14.4"/>
    <row r="2383" ht="14.4"/>
    <row r="2384" ht="14.4"/>
    <row r="2385" ht="14.4"/>
    <row r="2386" ht="14.4"/>
    <row r="2387" ht="14.4"/>
    <row r="2388" ht="14.4"/>
    <row r="2389" ht="14.4"/>
    <row r="2390" ht="14.4"/>
    <row r="2391" ht="14.4"/>
    <row r="2392" ht="14.4"/>
    <row r="2393" ht="14.4"/>
    <row r="2394" ht="14.4"/>
    <row r="2395" ht="14.4"/>
    <row r="2396" ht="14.4"/>
    <row r="2397" ht="14.4"/>
    <row r="2398" ht="14.4"/>
    <row r="2399" ht="14.4"/>
    <row r="2400" ht="14.4"/>
    <row r="2401" ht="14.4"/>
    <row r="2402" ht="14.4"/>
    <row r="2403" ht="14.4"/>
    <row r="2404" ht="14.4"/>
    <row r="2405" ht="14.4"/>
    <row r="2406" ht="14.4"/>
    <row r="2407" ht="14.4"/>
    <row r="2408" ht="14.4"/>
    <row r="2409" ht="14.4"/>
    <row r="2410" ht="14.4"/>
    <row r="2411" ht="14.4"/>
    <row r="2412" ht="14.4"/>
    <row r="2413" ht="14.4"/>
    <row r="2414" ht="14.4"/>
    <row r="2415" ht="14.4"/>
    <row r="2416" ht="14.4"/>
    <row r="2417" ht="14.4"/>
    <row r="2418" ht="14.4"/>
    <row r="2419" ht="14.4"/>
    <row r="2420" ht="14.4"/>
    <row r="2421" ht="14.4"/>
    <row r="2422" ht="14.4"/>
    <row r="2423" ht="14.4"/>
    <row r="2424" ht="14.4"/>
    <row r="2425" ht="14.4"/>
    <row r="2426" ht="14.4"/>
    <row r="2427" ht="14.4"/>
    <row r="2428" ht="14.4"/>
    <row r="2429" ht="14.4"/>
    <row r="2430" ht="14.4"/>
    <row r="2431" ht="14.4"/>
    <row r="2432" ht="14.4"/>
    <row r="2433" ht="14.4"/>
    <row r="2434" ht="14.4"/>
    <row r="2435" ht="14.4"/>
    <row r="2436" ht="14.4"/>
    <row r="2437" ht="14.4"/>
    <row r="2438" ht="14.4"/>
    <row r="2439" ht="14.4"/>
    <row r="2440" ht="14.4"/>
    <row r="2441" ht="14.4"/>
    <row r="2442" ht="14.4"/>
    <row r="2443" ht="14.4"/>
    <row r="2444" ht="14.4"/>
    <row r="2445" ht="14.4"/>
    <row r="2446" ht="14.4"/>
    <row r="2447" ht="14.4"/>
    <row r="2448" ht="14.4"/>
    <row r="2449" ht="14.4"/>
    <row r="2450" ht="14.4"/>
    <row r="2451" ht="14.4"/>
    <row r="2452" ht="14.4"/>
    <row r="2453" ht="14.4"/>
    <row r="2454" ht="14.4"/>
    <row r="2455" ht="14.4"/>
    <row r="2456" ht="14.4"/>
    <row r="2457" ht="14.4"/>
    <row r="2458" ht="14.4"/>
    <row r="2459" ht="14.4"/>
    <row r="2460" ht="14.4"/>
    <row r="2461" ht="14.4"/>
    <row r="2462" ht="14.4"/>
    <row r="2463" ht="14.4"/>
    <row r="2464" ht="14.4"/>
    <row r="2465" ht="14.4"/>
    <row r="2466" ht="14.4"/>
    <row r="2467" ht="14.4"/>
    <row r="2468" ht="14.4"/>
    <row r="2469" ht="14.4"/>
    <row r="2470" ht="14.4"/>
    <row r="2471" ht="14.4"/>
    <row r="2472" ht="14.4"/>
    <row r="2473" ht="14.4"/>
    <row r="2474" ht="14.4"/>
    <row r="2475" ht="14.4"/>
    <row r="2476" ht="14.4"/>
    <row r="2477" ht="14.4"/>
    <row r="2478" ht="14.4"/>
    <row r="2479" ht="14.4"/>
    <row r="2480" ht="14.4"/>
    <row r="2481" ht="14.4"/>
    <row r="2482" ht="14.4"/>
    <row r="2483" ht="14.4"/>
    <row r="2484" ht="14.4"/>
    <row r="2485" ht="14.4"/>
    <row r="2486" ht="14.4"/>
    <row r="2487" ht="14.4"/>
    <row r="2488" ht="14.4"/>
    <row r="2489" ht="14.4"/>
    <row r="2490" ht="14.4"/>
    <row r="2491" ht="14.4"/>
    <row r="2492" ht="14.4"/>
    <row r="2493" ht="14.4"/>
    <row r="2494" ht="14.4"/>
    <row r="2495" ht="14.4"/>
    <row r="2496" ht="14.4"/>
    <row r="2497" ht="14.4"/>
    <row r="2498" ht="14.4"/>
    <row r="2499" ht="14.4"/>
    <row r="2500" ht="14.4"/>
    <row r="2501" ht="14.4"/>
    <row r="2502" ht="14.4"/>
    <row r="2503" ht="14.4"/>
    <row r="2504" ht="14.4"/>
    <row r="2505" ht="14.4"/>
    <row r="2506" ht="14.4"/>
    <row r="2507" ht="14.4"/>
    <row r="2508" ht="14.4"/>
    <row r="2509" ht="14.4"/>
    <row r="2510" ht="14.4"/>
    <row r="2511" ht="14.4"/>
    <row r="2512" ht="14.4"/>
    <row r="2513" ht="14.4"/>
    <row r="2514" ht="14.4"/>
    <row r="2515" ht="14.4"/>
    <row r="2516" ht="14.4"/>
    <row r="2517" ht="14.4"/>
    <row r="2518" ht="14.4"/>
    <row r="2519" ht="14.4"/>
    <row r="2520" ht="14.4"/>
    <row r="2521" ht="14.4"/>
    <row r="2522" ht="14.4"/>
    <row r="2523" ht="14.4"/>
    <row r="2524" ht="14.4"/>
    <row r="2525" ht="14.4"/>
    <row r="2526" ht="14.4"/>
    <row r="2527" ht="14.4"/>
    <row r="2528" ht="14.4"/>
    <row r="2529" ht="14.4"/>
    <row r="2530" ht="14.4"/>
    <row r="2531" ht="14.4"/>
    <row r="2532" ht="14.4"/>
    <row r="2533" ht="14.4"/>
    <row r="2534" ht="14.4"/>
    <row r="2535" ht="14.4"/>
    <row r="2536" ht="14.4"/>
    <row r="2537" ht="14.4"/>
    <row r="2538" ht="14.4"/>
    <row r="2539" ht="14.4"/>
    <row r="2540" ht="14.4"/>
    <row r="2541" ht="14.4"/>
    <row r="2542" ht="14.4"/>
    <row r="2543" ht="14.4"/>
    <row r="2544" ht="14.4"/>
    <row r="2545" ht="14.4"/>
    <row r="2546" ht="14.4"/>
    <row r="2547" ht="14.4"/>
    <row r="2548" ht="14.4"/>
    <row r="2549" ht="14.4"/>
    <row r="2550" ht="14.4"/>
    <row r="2551" ht="14.4"/>
    <row r="2552" ht="14.4"/>
    <row r="2553" ht="14.4"/>
    <row r="2554" ht="14.4"/>
    <row r="2555" ht="14.4"/>
    <row r="2556" ht="14.4"/>
    <row r="2557" ht="14.4"/>
    <row r="2558" ht="14.4"/>
    <row r="2559" ht="14.4"/>
    <row r="2560" ht="14.4"/>
    <row r="2561" ht="14.4"/>
    <row r="2562" ht="14.4"/>
    <row r="2563" ht="14.4"/>
    <row r="2564" ht="14.4"/>
    <row r="2565" ht="14.4"/>
    <row r="2566" ht="14.4"/>
    <row r="2567" ht="14.4"/>
    <row r="2568" ht="14.4"/>
    <row r="2569" ht="14.4"/>
    <row r="2570" ht="14.4"/>
    <row r="2571" ht="14.4"/>
    <row r="2572" ht="14.4"/>
    <row r="2573" ht="14.4"/>
    <row r="2574" ht="14.4"/>
    <row r="2575" ht="14.4"/>
    <row r="2576" ht="14.4"/>
    <row r="2577" ht="14.4"/>
    <row r="2578" ht="14.4"/>
    <row r="2579" ht="14.4"/>
    <row r="2580" ht="14.4"/>
    <row r="2581" ht="14.4"/>
    <row r="2582" ht="14.4"/>
    <row r="2583" ht="14.4"/>
    <row r="2584" ht="14.4"/>
    <row r="2585" ht="14.4"/>
    <row r="2586" ht="14.4"/>
    <row r="2587" ht="14.4"/>
    <row r="2588" ht="14.4"/>
    <row r="2589" ht="14.4"/>
    <row r="2590" ht="14.4"/>
    <row r="2591" ht="14.4"/>
    <row r="2592" ht="14.4"/>
    <row r="2593" ht="14.4"/>
    <row r="2594" ht="14.4"/>
    <row r="2595" ht="14.4"/>
    <row r="2596" ht="14.4"/>
    <row r="2597" ht="14.4"/>
    <row r="2598" ht="14.4"/>
    <row r="2599" ht="14.4"/>
    <row r="2600" ht="14.4"/>
    <row r="2601" ht="14.4"/>
    <row r="2602" ht="14.4"/>
    <row r="2603" ht="14.4"/>
    <row r="2604" ht="14.4"/>
    <row r="2605" ht="14.4"/>
    <row r="2606" ht="14.4"/>
    <row r="2607" ht="14.4"/>
    <row r="2608" ht="14.4"/>
    <row r="2609" ht="14.4"/>
    <row r="2610" ht="14.4"/>
    <row r="2611" ht="14.4"/>
    <row r="2612" ht="14.4"/>
    <row r="2613" ht="14.4"/>
    <row r="2614" ht="14.4"/>
    <row r="2615" ht="14.4"/>
    <row r="2616" ht="14.4"/>
    <row r="2617" ht="14.4"/>
    <row r="2618" ht="14.4"/>
    <row r="2619" ht="14.4"/>
    <row r="2620" ht="14.4"/>
    <row r="2621" ht="14.4"/>
    <row r="2622" ht="14.4"/>
    <row r="2623" ht="14.4"/>
    <row r="2624" ht="14.4"/>
    <row r="2625" ht="14.4"/>
    <row r="2626" ht="14.4"/>
    <row r="2627" ht="14.4"/>
    <row r="2628" ht="14.4"/>
    <row r="2629" ht="14.4"/>
    <row r="2630" ht="14.4"/>
    <row r="2631" ht="14.4"/>
    <row r="2632" ht="14.4"/>
    <row r="2633" ht="14.4"/>
    <row r="2634" ht="14.4"/>
    <row r="2635" ht="14.4"/>
    <row r="2636" ht="14.4"/>
    <row r="2637" ht="14.4"/>
    <row r="2638" ht="14.4"/>
    <row r="2639" ht="14.4"/>
    <row r="2640" ht="14.4"/>
    <row r="2641" ht="14.4"/>
    <row r="2642" ht="14.4"/>
    <row r="2643" ht="14.4"/>
    <row r="2644" ht="14.4"/>
    <row r="2645" ht="14.4"/>
    <row r="2646" ht="14.4"/>
    <row r="2647" ht="14.4"/>
    <row r="2648" ht="14.4"/>
    <row r="2649" ht="14.4"/>
    <row r="2650" ht="14.4"/>
    <row r="2651" ht="14.4"/>
    <row r="2652" ht="14.4"/>
    <row r="2653" ht="14.4"/>
    <row r="2654" ht="14.4"/>
    <row r="2655" ht="14.4"/>
    <row r="2656" ht="14.4"/>
    <row r="2657" ht="14.4"/>
    <row r="2658" ht="14.4"/>
    <row r="2659" ht="14.4"/>
    <row r="2660" ht="14.4"/>
    <row r="2661" ht="14.4"/>
    <row r="2662" ht="14.4"/>
    <row r="2663" ht="14.4"/>
    <row r="2664" ht="14.4"/>
    <row r="2665" ht="14.4"/>
    <row r="2666" ht="14.4"/>
    <row r="2667" ht="14.4"/>
    <row r="2668" ht="14.4"/>
    <row r="2669" ht="14.4"/>
    <row r="2670" ht="14.4"/>
    <row r="2671" ht="14.4"/>
    <row r="2672" ht="14.4"/>
    <row r="2673" ht="14.4"/>
    <row r="2674" ht="14.4"/>
    <row r="2675" ht="14.4"/>
    <row r="2676" ht="14.4"/>
    <row r="2677" ht="14.4"/>
    <row r="2678" ht="14.4"/>
    <row r="2679" ht="14.4"/>
    <row r="2680" ht="14.4"/>
    <row r="2681" ht="14.4"/>
    <row r="2682" ht="14.4"/>
    <row r="2683" ht="14.4"/>
    <row r="2684" ht="14.4"/>
    <row r="2685" ht="14.4"/>
  </sheetData>
  <mergeCells count="3">
    <mergeCell ref="A3:A5"/>
    <mergeCell ref="B3:C3"/>
    <mergeCell ref="D3:E3"/>
  </mergeCells>
  <hyperlinks>
    <hyperlink ref="H4" r:id="rId1" display="ERP US" xr:uid="{B515973F-AA16-41C6-8D41-3ED0D19BBFA2}"/>
    <hyperlink ref="H5" r:id="rId2" display="Chênh lệch CDS" xr:uid="{DE205F45-B0FD-4603-815D-58A9E45AD259}"/>
    <hyperlink ref="H6" r:id="rId3" display="Chênh lệch Moody's Rating" xr:uid="{F9D9944F-0067-4907-A33F-52DD8F28245C}"/>
    <hyperlink ref="H7" r:id="rId4" display="ERP US" xr:uid="{35B17070-6540-428A-8EED-B8BEAE837130}"/>
  </hyperlinks>
  <pageMargins left="0.7" right="0.7" top="0.75" bottom="0.75" header="0.3" footer="0.3"/>
  <pageSetup paperSize="9" orientation="portrait" r:id="rId5"/>
  <legacy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F579-705D-4CD1-AA98-03CF040163C3}">
  <sheetPr>
    <tabColor rgb="FFFF0000"/>
  </sheetPr>
  <dimension ref="A1:BV88"/>
  <sheetViews>
    <sheetView zoomScaleNormal="100" workbookViewId="0">
      <pane xSplit="3" ySplit="3" topLeftCell="D4" activePane="bottomRight" state="frozen"/>
      <selection pane="topRight" activeCell="G25" sqref="G25"/>
      <selection pane="bottomLeft" activeCell="G25" sqref="G25"/>
      <selection pane="bottomRight" activeCell="P42" sqref="P42"/>
    </sheetView>
  </sheetViews>
  <sheetFormatPr defaultRowHeight="20.25" customHeight="1"/>
  <cols>
    <col min="2" max="2" width="34.109375" bestFit="1" customWidth="1"/>
    <col min="3" max="3" width="8.88671875" bestFit="1" customWidth="1"/>
    <col min="4" max="5" width="7.88671875" bestFit="1" customWidth="1"/>
    <col min="6" max="8" width="8.6640625" bestFit="1" customWidth="1"/>
    <col min="9" max="14" width="8.33203125" bestFit="1" customWidth="1"/>
  </cols>
  <sheetData>
    <row r="1" spans="1:18" s="7" customFormat="1" ht="14.4">
      <c r="B1" s="65"/>
      <c r="C1" s="66"/>
      <c r="D1" s="67"/>
      <c r="E1" s="67"/>
      <c r="F1" s="67"/>
      <c r="G1" s="67"/>
      <c r="H1" s="68"/>
      <c r="I1" s="67"/>
      <c r="J1" s="67"/>
      <c r="K1" s="67"/>
      <c r="L1" s="67"/>
      <c r="M1" s="67"/>
      <c r="N1" s="67"/>
    </row>
    <row r="2" spans="1:18" s="7" customFormat="1" ht="14.4">
      <c r="B2" s="69"/>
      <c r="C2" s="70"/>
      <c r="D2" s="71"/>
      <c r="E2" s="71"/>
      <c r="F2" s="71"/>
      <c r="G2" s="259">
        <v>45291</v>
      </c>
      <c r="H2" s="260">
        <f>DATE(YEAR(G2),MONTH(G2)+13,0)</f>
        <v>45657</v>
      </c>
      <c r="I2" s="259">
        <f t="shared" ref="I2:N2" si="0">DATE(YEAR(H2),MONTH(H2)+13,0)</f>
        <v>46022</v>
      </c>
      <c r="J2" s="259">
        <f t="shared" si="0"/>
        <v>46387</v>
      </c>
      <c r="K2" s="259">
        <f t="shared" si="0"/>
        <v>46752</v>
      </c>
      <c r="L2" s="259">
        <f t="shared" si="0"/>
        <v>47118</v>
      </c>
      <c r="M2" s="259">
        <f t="shared" si="0"/>
        <v>47483</v>
      </c>
      <c r="N2" s="259">
        <f t="shared" si="0"/>
        <v>47848</v>
      </c>
    </row>
    <row r="3" spans="1:18" s="7" customFormat="1" ht="15" thickBot="1">
      <c r="B3" s="69" t="s">
        <v>716</v>
      </c>
      <c r="C3" s="70" t="s">
        <v>671</v>
      </c>
      <c r="D3" s="71">
        <f>'IP_BS Raw'!E2</f>
        <v>2021</v>
      </c>
      <c r="E3" s="71">
        <f>D3+1</f>
        <v>2022</v>
      </c>
      <c r="F3" s="71">
        <f t="shared" ref="F3:N3" si="1">E3+1</f>
        <v>2023</v>
      </c>
      <c r="G3" s="71">
        <f t="shared" si="1"/>
        <v>2024</v>
      </c>
      <c r="H3" s="71">
        <f>G3+1</f>
        <v>2025</v>
      </c>
      <c r="I3" s="71">
        <f t="shared" si="1"/>
        <v>2026</v>
      </c>
      <c r="J3" s="71">
        <f t="shared" si="1"/>
        <v>2027</v>
      </c>
      <c r="K3" s="71">
        <f t="shared" si="1"/>
        <v>2028</v>
      </c>
      <c r="L3" s="71">
        <f t="shared" si="1"/>
        <v>2029</v>
      </c>
      <c r="M3" s="71">
        <f t="shared" si="1"/>
        <v>2030</v>
      </c>
      <c r="N3" s="71">
        <f t="shared" si="1"/>
        <v>2031</v>
      </c>
    </row>
    <row r="4" spans="1:18" s="7" customFormat="1" ht="14.4">
      <c r="B4" s="72" t="s">
        <v>837</v>
      </c>
      <c r="C4" s="73" t="s">
        <v>721</v>
      </c>
      <c r="D4" s="74">
        <f t="shared" ref="D4:G4" si="2">D5+D11</f>
        <v>1388467146198</v>
      </c>
      <c r="E4" s="74">
        <f t="shared" si="2"/>
        <v>1311932297572</v>
      </c>
      <c r="F4" s="74">
        <f t="shared" si="2"/>
        <v>1891225676406</v>
      </c>
      <c r="G4" s="75">
        <f t="shared" si="2"/>
        <v>2814732850457</v>
      </c>
      <c r="H4" s="76">
        <f>H5+H11</f>
        <v>3066234160063</v>
      </c>
      <c r="I4" s="77">
        <f t="shared" ref="I4:N4" si="3">I5+I11</f>
        <v>2370375789157.416</v>
      </c>
      <c r="J4" s="77">
        <f t="shared" si="3"/>
        <v>2279602181388.4136</v>
      </c>
      <c r="K4" s="77">
        <f t="shared" si="3"/>
        <v>2171050486820.1172</v>
      </c>
      <c r="L4" s="77">
        <f t="shared" si="3"/>
        <v>2022269134767.9236</v>
      </c>
      <c r="M4" s="77">
        <f t="shared" si="3"/>
        <v>1934957386487.4141</v>
      </c>
      <c r="N4" s="77">
        <f t="shared" si="3"/>
        <v>1817129134297.1292</v>
      </c>
    </row>
    <row r="5" spans="1:18" s="9" customFormat="1" ht="14.4">
      <c r="A5" s="7"/>
      <c r="B5" s="78" t="s">
        <v>838</v>
      </c>
      <c r="C5" s="79" t="s">
        <v>673</v>
      </c>
      <c r="D5" s="80">
        <f t="shared" ref="D5:G5" si="4">SUM(D6:D10)</f>
        <v>1134580036184</v>
      </c>
      <c r="E5" s="80">
        <f t="shared" si="4"/>
        <v>623158641225</v>
      </c>
      <c r="F5" s="80">
        <f t="shared" si="4"/>
        <v>947639699363</v>
      </c>
      <c r="G5" s="81">
        <f t="shared" si="4"/>
        <v>1305306889451</v>
      </c>
      <c r="H5" s="82">
        <f>SUM(H6:H10)</f>
        <v>1870935494083</v>
      </c>
      <c r="I5" s="83">
        <f t="shared" ref="I5:N5" si="5">SUM(I6:I10)</f>
        <v>1297230203093.26</v>
      </c>
      <c r="J5" s="83">
        <f t="shared" si="5"/>
        <v>1338978893238.699</v>
      </c>
      <c r="K5" s="83">
        <f t="shared" si="5"/>
        <v>1386472712751.6887</v>
      </c>
      <c r="L5" s="83">
        <f t="shared" si="5"/>
        <v>1394364381329.7227</v>
      </c>
      <c r="M5" s="83">
        <f t="shared" si="5"/>
        <v>1467577307829.8589</v>
      </c>
      <c r="N5" s="83">
        <f t="shared" si="5"/>
        <v>1518299964159.252</v>
      </c>
    </row>
    <row r="6" spans="1:18" s="7" customFormat="1" ht="14.4">
      <c r="B6" s="65" t="s">
        <v>839</v>
      </c>
      <c r="C6" s="84" t="s">
        <v>673</v>
      </c>
      <c r="D6" s="85">
        <f>'IP_BS Raw'!E7</f>
        <v>4321225874</v>
      </c>
      <c r="E6" s="85">
        <f>'IP_BS Raw'!F7</f>
        <v>26473013864</v>
      </c>
      <c r="F6" s="85">
        <f>'IP_BS Raw'!G7</f>
        <v>8461339357</v>
      </c>
      <c r="G6" s="86">
        <f>'IP_BS Raw'!H7</f>
        <v>136236074178</v>
      </c>
      <c r="H6" s="87">
        <f>'IP_BS Raw'!I7</f>
        <v>288524181242</v>
      </c>
      <c r="I6" s="88">
        <f t="shared" ref="I6:N6" si="6">H6</f>
        <v>288524181242</v>
      </c>
      <c r="J6" s="88">
        <f t="shared" si="6"/>
        <v>288524181242</v>
      </c>
      <c r="K6" s="88">
        <f t="shared" si="6"/>
        <v>288524181242</v>
      </c>
      <c r="L6" s="88">
        <f t="shared" si="6"/>
        <v>288524181242</v>
      </c>
      <c r="M6" s="88">
        <f t="shared" si="6"/>
        <v>288524181242</v>
      </c>
      <c r="N6" s="88">
        <f t="shared" si="6"/>
        <v>288524181242</v>
      </c>
      <c r="Q6" s="54"/>
    </row>
    <row r="7" spans="1:18" s="7" customFormat="1" ht="14.4">
      <c r="B7" s="65" t="s">
        <v>17</v>
      </c>
      <c r="C7" s="84" t="s">
        <v>673</v>
      </c>
      <c r="D7" s="85">
        <f>'IP_BS Raw'!E10</f>
        <v>4900000000</v>
      </c>
      <c r="E7" s="85">
        <f>'IP_BS Raw'!F10</f>
        <v>50000000</v>
      </c>
      <c r="F7" s="85">
        <f>'IP_BS Raw'!G10</f>
        <v>230000000</v>
      </c>
      <c r="G7" s="86">
        <f>'IP_BS Raw'!H10</f>
        <v>1230000000</v>
      </c>
      <c r="H7" s="87">
        <f>'IP_BS Raw'!I10</f>
        <v>164600000000</v>
      </c>
      <c r="I7" s="88">
        <f t="shared" ref="I7:N7" si="7">H7</f>
        <v>164600000000</v>
      </c>
      <c r="J7" s="88">
        <f t="shared" si="7"/>
        <v>164600000000</v>
      </c>
      <c r="K7" s="88">
        <f t="shared" si="7"/>
        <v>164600000000</v>
      </c>
      <c r="L7" s="88">
        <f t="shared" si="7"/>
        <v>164600000000</v>
      </c>
      <c r="M7" s="88">
        <f t="shared" si="7"/>
        <v>164600000000</v>
      </c>
      <c r="N7" s="88">
        <f t="shared" si="7"/>
        <v>164600000000</v>
      </c>
    </row>
    <row r="8" spans="1:18" s="7" customFormat="1" ht="14.4">
      <c r="B8" s="65" t="s">
        <v>658</v>
      </c>
      <c r="C8" s="84" t="s">
        <v>673</v>
      </c>
      <c r="D8" s="85">
        <f>'IP_BS Raw'!E14</f>
        <v>1059557585612</v>
      </c>
      <c r="E8" s="85">
        <f>'IP_BS Raw'!F14</f>
        <v>541296932112</v>
      </c>
      <c r="F8" s="85">
        <f>'IP_BS Raw'!G14</f>
        <v>845395421575</v>
      </c>
      <c r="G8" s="86">
        <f>'IP_BS Raw'!H14</f>
        <v>1101930451740</v>
      </c>
      <c r="H8" s="87">
        <f>'IP_BS Raw'!I14</f>
        <v>1305199947643</v>
      </c>
      <c r="I8" s="88">
        <f>PD_Operation!I16/365*OD_IS!I4</f>
        <v>700531068954.27942</v>
      </c>
      <c r="J8" s="88">
        <f>PD_Operation!J16/365*OD_IS!J4</f>
        <v>712206586770.18408</v>
      </c>
      <c r="K8" s="88">
        <f>PD_Operation!K16/365*OD_IS!K4</f>
        <v>737133817307.1405</v>
      </c>
      <c r="L8" s="88">
        <f>PD_Operation!L16/365*OD_IS!L4</f>
        <v>727305366409.71191</v>
      </c>
      <c r="M8" s="88">
        <f>PD_Operation!M16/365*OD_IS!M4</f>
        <v>785489795722.48889</v>
      </c>
      <c r="N8" s="88">
        <f>PD_Operation!N16/365*OD_IS!N4</f>
        <v>824764285508.6134</v>
      </c>
    </row>
    <row r="9" spans="1:18" s="7" customFormat="1" ht="14.4">
      <c r="B9" s="65" t="s">
        <v>659</v>
      </c>
      <c r="C9" s="84" t="s">
        <v>673</v>
      </c>
      <c r="D9" s="85">
        <f>'IP_BS Raw'!E23</f>
        <v>30723500694</v>
      </c>
      <c r="E9" s="85">
        <f>'IP_BS Raw'!F23</f>
        <v>15511002401</v>
      </c>
      <c r="F9" s="85">
        <f>'IP_BS Raw'!G23</f>
        <v>29168608393</v>
      </c>
      <c r="G9" s="86">
        <f>'IP_BS Raw'!H23</f>
        <v>40804852414</v>
      </c>
      <c r="H9" s="87">
        <f>'IP_BS Raw'!I23</f>
        <v>97855839839</v>
      </c>
      <c r="I9" s="88">
        <f>PD_Operation!I17/365*(-OD_IS!I5)</f>
        <v>107916889982.57828</v>
      </c>
      <c r="J9" s="88">
        <f>PD_Operation!J17/365*(-OD_IS!J5)</f>
        <v>130145288470.94382</v>
      </c>
      <c r="K9" s="88">
        <f>PD_Operation!K17/365*(-OD_IS!K5)</f>
        <v>146186451933.64151</v>
      </c>
      <c r="L9" s="88">
        <f>PD_Operation!L17/365*(-OD_IS!L5)</f>
        <v>158403462559.52444</v>
      </c>
      <c r="M9" s="88">
        <f>PD_Operation!M17/365*(-OD_IS!M5)</f>
        <v>168989450057.40488</v>
      </c>
      <c r="N9" s="88">
        <f>PD_Operation!N17/365*(-OD_IS!N5)</f>
        <v>177438922560.27512</v>
      </c>
    </row>
    <row r="10" spans="1:18" s="7" customFormat="1" ht="14.4">
      <c r="B10" s="65" t="s">
        <v>840</v>
      </c>
      <c r="C10" s="84" t="s">
        <v>673</v>
      </c>
      <c r="D10" s="85">
        <f>'IP_BS Raw'!E26</f>
        <v>35077724004</v>
      </c>
      <c r="E10" s="85">
        <f>'IP_BS Raw'!F26</f>
        <v>39827692848</v>
      </c>
      <c r="F10" s="85">
        <f>'IP_BS Raw'!G26</f>
        <v>64384330038</v>
      </c>
      <c r="G10" s="86">
        <f>'IP_BS Raw'!H26</f>
        <v>25105511119</v>
      </c>
      <c r="H10" s="87">
        <f>'IP_BS Raw'!I26</f>
        <v>14755525359</v>
      </c>
      <c r="I10" s="88">
        <f>PD_Operation!I19*OD_IS!I4</f>
        <v>35658062914.402428</v>
      </c>
      <c r="J10" s="88">
        <f>PD_Operation!J19*OD_IS!J4</f>
        <v>43502836755.570953</v>
      </c>
      <c r="K10" s="88">
        <f>PD_Operation!K19*OD_IS!K4</f>
        <v>50028262268.906601</v>
      </c>
      <c r="L10" s="88">
        <f>PD_Operation!L19*OD_IS!L4</f>
        <v>55531371118.486328</v>
      </c>
      <c r="M10" s="88">
        <f>PD_Operation!M19*OD_IS!M4</f>
        <v>59973880807.965233</v>
      </c>
      <c r="N10" s="88">
        <f>PD_Operation!N19*OD_IS!N4</f>
        <v>62972574848.363495</v>
      </c>
    </row>
    <row r="11" spans="1:18" s="9" customFormat="1" ht="14.4">
      <c r="A11" s="7"/>
      <c r="B11" s="89" t="s">
        <v>841</v>
      </c>
      <c r="C11" s="90" t="s">
        <v>673</v>
      </c>
      <c r="D11" s="91">
        <f t="shared" ref="D11:F11" si="8">D14+D15+D16+D17</f>
        <v>253887110014</v>
      </c>
      <c r="E11" s="91">
        <f t="shared" si="8"/>
        <v>688773656347</v>
      </c>
      <c r="F11" s="91">
        <f t="shared" si="8"/>
        <v>943585977043</v>
      </c>
      <c r="G11" s="92">
        <f>G14+G15+G16+G17</f>
        <v>1509425961006</v>
      </c>
      <c r="H11" s="93">
        <f>H14+H15+H16+H17</f>
        <v>1195298665980</v>
      </c>
      <c r="I11" s="94">
        <f t="shared" ref="I11:N11" si="9">I14+I15+I16+I17</f>
        <v>1073145586064.156</v>
      </c>
      <c r="J11" s="94">
        <f t="shared" si="9"/>
        <v>940623288149.7146</v>
      </c>
      <c r="K11" s="94">
        <f t="shared" si="9"/>
        <v>784577774068.42847</v>
      </c>
      <c r="L11" s="94">
        <f t="shared" si="9"/>
        <v>627904753438.20093</v>
      </c>
      <c r="M11" s="94">
        <f t="shared" si="9"/>
        <v>467380078657.55518</v>
      </c>
      <c r="N11" s="94">
        <f t="shared" si="9"/>
        <v>298829170137.8772</v>
      </c>
    </row>
    <row r="12" spans="1:18" s="7" customFormat="1" ht="14.4">
      <c r="B12" s="65" t="s">
        <v>1074</v>
      </c>
      <c r="C12" s="84" t="s">
        <v>673</v>
      </c>
      <c r="D12" s="85">
        <f>'IP_BS Raw'!E43+'IP_BS Raw'!E46+'IP_BS Raw'!E49+'IP_BS Raw'!E57+'IP_BS Raw'!E70</f>
        <v>78197611614</v>
      </c>
      <c r="E12" s="85">
        <f>'IP_BS Raw'!F43+'IP_BS Raw'!F46+'IP_BS Raw'!F49+'IP_BS Raw'!F57+'IP_BS Raw'!F70</f>
        <v>144636525187</v>
      </c>
      <c r="F12" s="85">
        <f>'IP_BS Raw'!G43+'IP_BS Raw'!G46+'IP_BS Raw'!G49+'IP_BS Raw'!G57+'IP_BS Raw'!G70</f>
        <v>160812961982</v>
      </c>
      <c r="G12" s="86">
        <f>'IP_BS Raw'!H43+'IP_BS Raw'!H46+'IP_BS Raw'!H49+'IP_BS Raw'!H57+'IP_BS Raw'!H70</f>
        <v>624540055042</v>
      </c>
      <c r="H12" s="87">
        <f>'IP_BS Raw'!I43+'IP_BS Raw'!I46+'IP_BS Raw'!I49+'IP_BS Raw'!I57+'IP_BS Raw'!I70</f>
        <v>649825980677</v>
      </c>
      <c r="I12" s="88">
        <f>H12+(-OD_CF!I10)</f>
        <v>777672900761.15601</v>
      </c>
      <c r="J12" s="88">
        <f>I12+(-OD_CF!J10)</f>
        <v>907650602846.7146</v>
      </c>
      <c r="K12" s="88">
        <f>J12+(-OD_CF!K10)</f>
        <v>1027230088765.4285</v>
      </c>
      <c r="L12" s="88">
        <f>K12+(-OD_CF!L10)</f>
        <v>1159963318135.2009</v>
      </c>
      <c r="M12" s="88">
        <f>L12+(-OD_CF!M10)</f>
        <v>1303315205854.5552</v>
      </c>
      <c r="N12" s="88">
        <f>M12+(-OD_CF!N10)</f>
        <v>1453834687959.8772</v>
      </c>
    </row>
    <row r="13" spans="1:18" s="17" customFormat="1" ht="14.4">
      <c r="B13" s="95" t="s">
        <v>842</v>
      </c>
      <c r="C13" s="96" t="s">
        <v>673</v>
      </c>
      <c r="D13" s="97">
        <f>'IP_BS Raw'!E44+'IP_BS Raw'!E50+'IP_BS Raw'!E47</f>
        <v>-26027784727</v>
      </c>
      <c r="E13" s="97">
        <f>'IP_BS Raw'!F44+'IP_BS Raw'!F50+'IP_BS Raw'!F47</f>
        <v>-38889210546</v>
      </c>
      <c r="F13" s="97">
        <f>'IP_BS Raw'!G44+'IP_BS Raw'!G50+'IP_BS Raw'!G47</f>
        <v>-30312993339</v>
      </c>
      <c r="G13" s="98">
        <f>'IP_BS Raw'!H44+'IP_BS Raw'!H50+'IP_BS Raw'!H47</f>
        <v>-50969214414</v>
      </c>
      <c r="H13" s="99">
        <f>'IP_BS Raw'!I44+'IP_BS Raw'!I50+'IP_BS Raw'!I47</f>
        <v>-99467544716</v>
      </c>
      <c r="I13" s="100">
        <f>H13+(-OD_CF!I6)</f>
        <v>-349467544716</v>
      </c>
      <c r="J13" s="100">
        <f>I13+(-OD_CF!J6)</f>
        <v>-611967544716</v>
      </c>
      <c r="K13" s="100">
        <f>J13+(-OD_CF!K6)</f>
        <v>-887592544716</v>
      </c>
      <c r="L13" s="100">
        <f>K13+(-OD_CF!L6)</f>
        <v>-1176998794716</v>
      </c>
      <c r="M13" s="100">
        <f>L13+(-OD_CF!M6)</f>
        <v>-1480875357216</v>
      </c>
      <c r="N13" s="100">
        <f>M13+(-OD_CF!N6)</f>
        <v>-1799945747841</v>
      </c>
      <c r="P13" s="7"/>
      <c r="Q13" s="7"/>
      <c r="R13" s="7"/>
    </row>
    <row r="14" spans="1:18" s="7" customFormat="1" ht="14.4">
      <c r="B14" s="78" t="s">
        <v>843</v>
      </c>
      <c r="C14" s="79" t="s">
        <v>673</v>
      </c>
      <c r="D14" s="80">
        <f t="shared" ref="D14:G14" si="10">D12+D13</f>
        <v>52169826887</v>
      </c>
      <c r="E14" s="80">
        <f t="shared" si="10"/>
        <v>105747314641</v>
      </c>
      <c r="F14" s="80">
        <f t="shared" si="10"/>
        <v>130499968643</v>
      </c>
      <c r="G14" s="81">
        <f t="shared" si="10"/>
        <v>573570840628</v>
      </c>
      <c r="H14" s="82">
        <f>H12+H13</f>
        <v>550358435961</v>
      </c>
      <c r="I14" s="83">
        <f t="shared" ref="I14:N14" si="11">I12+I13</f>
        <v>428205356045.15601</v>
      </c>
      <c r="J14" s="83">
        <f t="shared" si="11"/>
        <v>295683058130.7146</v>
      </c>
      <c r="K14" s="83">
        <f t="shared" si="11"/>
        <v>139637544049.42847</v>
      </c>
      <c r="L14" s="83">
        <f t="shared" si="11"/>
        <v>-17035476580.799072</v>
      </c>
      <c r="M14" s="83">
        <f t="shared" si="11"/>
        <v>-177560151361.44482</v>
      </c>
      <c r="N14" s="83">
        <f t="shared" si="11"/>
        <v>-346111059881.1228</v>
      </c>
    </row>
    <row r="15" spans="1:18" s="7" customFormat="1" ht="14.4">
      <c r="B15" s="65" t="s">
        <v>1075</v>
      </c>
      <c r="C15" s="84" t="s">
        <v>673</v>
      </c>
      <c r="D15" s="85">
        <v>0</v>
      </c>
      <c r="E15" s="85">
        <v>0</v>
      </c>
      <c r="F15" s="85">
        <v>0</v>
      </c>
      <c r="G15" s="86">
        <v>0</v>
      </c>
      <c r="H15" s="87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</row>
    <row r="16" spans="1:18" s="7" customFormat="1" ht="14.4">
      <c r="B16" s="65" t="s">
        <v>844</v>
      </c>
      <c r="C16" s="84" t="s">
        <v>673</v>
      </c>
      <c r="D16" s="85">
        <f>'IP_BS Raw'!E58</f>
        <v>133341086382</v>
      </c>
      <c r="E16" s="85">
        <f>'IP_BS Raw'!F58</f>
        <v>140347514642</v>
      </c>
      <c r="F16" s="85">
        <f>'IP_BS Raw'!G58</f>
        <v>383408540098</v>
      </c>
      <c r="G16" s="86">
        <f>'IP_BS Raw'!H58</f>
        <v>111178423767</v>
      </c>
      <c r="H16" s="87">
        <f>'IP_BS Raw'!I58</f>
        <v>124915632725</v>
      </c>
      <c r="I16" s="88">
        <f t="shared" ref="I16:N16" si="12">H16</f>
        <v>124915632725</v>
      </c>
      <c r="J16" s="88">
        <f t="shared" si="12"/>
        <v>124915632725</v>
      </c>
      <c r="K16" s="88">
        <f t="shared" si="12"/>
        <v>124915632725</v>
      </c>
      <c r="L16" s="88">
        <f t="shared" si="12"/>
        <v>124915632725</v>
      </c>
      <c r="M16" s="88">
        <f t="shared" si="12"/>
        <v>124915632725</v>
      </c>
      <c r="N16" s="88">
        <f t="shared" si="12"/>
        <v>124915632725</v>
      </c>
    </row>
    <row r="17" spans="2:14" s="7" customFormat="1" ht="14.4">
      <c r="B17" s="65" t="s">
        <v>845</v>
      </c>
      <c r="C17" s="84" t="s">
        <v>673</v>
      </c>
      <c r="D17" s="85">
        <f>'IP_BS Raw'!E33+'IP_BS Raw'!E52+'IP_BS Raw'!E64+'IP_BS Raw'!E65</f>
        <v>68376196745</v>
      </c>
      <c r="E17" s="85">
        <f>'IP_BS Raw'!F33+'IP_BS Raw'!F52+'IP_BS Raw'!F64+'IP_BS Raw'!F65</f>
        <v>442678827064</v>
      </c>
      <c r="F17" s="85">
        <f>'IP_BS Raw'!G33+'IP_BS Raw'!G52+'IP_BS Raw'!G64+'IP_BS Raw'!G65</f>
        <v>429677468302</v>
      </c>
      <c r="G17" s="86">
        <f>'IP_BS Raw'!H33+'IP_BS Raw'!H52+'IP_BS Raw'!H64+'IP_BS Raw'!H65</f>
        <v>824676696611</v>
      </c>
      <c r="H17" s="87">
        <f>'IP_BS Raw'!I33+'IP_BS Raw'!I52+'IP_BS Raw'!I64+'IP_BS Raw'!I65</f>
        <v>520024597294</v>
      </c>
      <c r="I17" s="88">
        <f t="shared" ref="I17:N17" si="13">H17</f>
        <v>520024597294</v>
      </c>
      <c r="J17" s="88">
        <f t="shared" si="13"/>
        <v>520024597294</v>
      </c>
      <c r="K17" s="88">
        <f t="shared" si="13"/>
        <v>520024597294</v>
      </c>
      <c r="L17" s="88">
        <f t="shared" si="13"/>
        <v>520024597294</v>
      </c>
      <c r="M17" s="88">
        <f t="shared" si="13"/>
        <v>520024597294</v>
      </c>
      <c r="N17" s="88">
        <f t="shared" si="13"/>
        <v>520024597294</v>
      </c>
    </row>
    <row r="18" spans="2:14" s="7" customFormat="1" ht="14.4">
      <c r="B18" s="89" t="s">
        <v>846</v>
      </c>
      <c r="C18" s="90" t="s">
        <v>721</v>
      </c>
      <c r="D18" s="91">
        <f t="shared" ref="D18:F18" si="14">D19+D23+D26</f>
        <v>1059227672799</v>
      </c>
      <c r="E18" s="91">
        <f t="shared" si="14"/>
        <v>909883790040</v>
      </c>
      <c r="F18" s="91">
        <f t="shared" si="14"/>
        <v>889451768689</v>
      </c>
      <c r="G18" s="92">
        <f>G19+G23+G26</f>
        <v>1195908489386</v>
      </c>
      <c r="H18" s="93">
        <f>H19+H23+H26</f>
        <v>806242806747</v>
      </c>
      <c r="I18" s="94">
        <f t="shared" ref="I18:N18" si="15">I19+I23+I26</f>
        <v>2370375789157.416</v>
      </c>
      <c r="J18" s="94">
        <f t="shared" si="15"/>
        <v>2279602181388.4131</v>
      </c>
      <c r="K18" s="94">
        <f t="shared" si="15"/>
        <v>2171050486820.1172</v>
      </c>
      <c r="L18" s="94">
        <f t="shared" si="15"/>
        <v>2022269134767.9238</v>
      </c>
      <c r="M18" s="94">
        <f t="shared" si="15"/>
        <v>2288695731041.7373</v>
      </c>
      <c r="N18" s="94">
        <f t="shared" si="15"/>
        <v>2580508139666.7095</v>
      </c>
    </row>
    <row r="19" spans="2:14" ht="14.4">
      <c r="B19" s="78" t="s">
        <v>847</v>
      </c>
      <c r="C19" s="79" t="s">
        <v>673</v>
      </c>
      <c r="D19" s="80">
        <f t="shared" ref="D19:G19" si="16">SUM(D20:D22)</f>
        <v>403533140176</v>
      </c>
      <c r="E19" s="80">
        <f t="shared" si="16"/>
        <v>315495843209</v>
      </c>
      <c r="F19" s="80">
        <f t="shared" si="16"/>
        <v>408623646511</v>
      </c>
      <c r="G19" s="81">
        <f t="shared" si="16"/>
        <v>962985040933</v>
      </c>
      <c r="H19" s="82">
        <f>SUM(H20:H22)</f>
        <v>630726249783</v>
      </c>
      <c r="I19" s="83">
        <f t="shared" ref="I19:N19" si="17">SUM(I20:I22)</f>
        <v>2114078717358.0647</v>
      </c>
      <c r="J19" s="83">
        <f t="shared" si="17"/>
        <v>1913989162190.9272</v>
      </c>
      <c r="K19" s="83">
        <f t="shared" si="17"/>
        <v>1652195790801.8906</v>
      </c>
      <c r="L19" s="83">
        <f t="shared" si="17"/>
        <v>1298680354583.8999</v>
      </c>
      <c r="M19" s="83">
        <f t="shared" si="17"/>
        <v>1322556047674.4673</v>
      </c>
      <c r="N19" s="83">
        <f t="shared" si="17"/>
        <v>1373470287184.1404</v>
      </c>
    </row>
    <row r="20" spans="2:14" ht="14.4">
      <c r="B20" s="65" t="s">
        <v>848</v>
      </c>
      <c r="C20" s="84" t="s">
        <v>673</v>
      </c>
      <c r="D20" s="85">
        <f>'IP_BS Raw'!E74</f>
        <v>87325315040</v>
      </c>
      <c r="E20" s="85">
        <f>'IP_BS Raw'!F74</f>
        <v>83181799835</v>
      </c>
      <c r="F20" s="85">
        <f>'IP_BS Raw'!G74</f>
        <v>98153102705</v>
      </c>
      <c r="G20" s="86">
        <f>'IP_BS Raw'!H74</f>
        <v>137590758890</v>
      </c>
      <c r="H20" s="87">
        <f>'IP_BS Raw'!I74</f>
        <v>149093578776</v>
      </c>
      <c r="I20" s="88">
        <f>PD_Operation!I18/365*(-OD_IS!I5)</f>
        <v>194087948861.41922</v>
      </c>
      <c r="J20" s="88">
        <f>PD_Operation!J18/365*(-OD_IS!J5)</f>
        <v>234065604534.94373</v>
      </c>
      <c r="K20" s="88">
        <f>PD_Operation!K18/365*(-OD_IS!K5)</f>
        <v>262915551140.41351</v>
      </c>
      <c r="L20" s="88">
        <f>PD_Operation!L18/365*(-OD_IS!L5)</f>
        <v>284887779342.86237</v>
      </c>
      <c r="M20" s="88">
        <f>PD_Operation!M18/365*(-OD_IS!M5)</f>
        <v>303926621181.87323</v>
      </c>
      <c r="N20" s="88">
        <f>PD_Operation!N18/365*(-OD_IS!N5)</f>
        <v>319122952240.96686</v>
      </c>
    </row>
    <row r="21" spans="2:14" ht="14.4">
      <c r="B21" s="65" t="s">
        <v>849</v>
      </c>
      <c r="C21" s="84" t="s">
        <v>673</v>
      </c>
      <c r="D21" s="85">
        <f>'IP_BS Raw'!E83</f>
        <v>130796216812</v>
      </c>
      <c r="E21" s="85">
        <f>'IP_BS Raw'!F83</f>
        <v>94317807400</v>
      </c>
      <c r="F21" s="85">
        <f>'IP_BS Raw'!G83</f>
        <v>171352690912</v>
      </c>
      <c r="G21" s="86">
        <f>'IP_BS Raw'!H83</f>
        <v>527364096445</v>
      </c>
      <c r="H21" s="87">
        <f>'IP_BS Raw'!I83</f>
        <v>304271257481</v>
      </c>
      <c r="I21" s="88">
        <f>MAX(PD_Operation!$H$24, I4-I20-I22-I24-I25-I27-I28-I29-I30-I31-I32)</f>
        <v>1495262066754.0417</v>
      </c>
      <c r="J21" s="88">
        <f>MAX(PD_Operation!$H$24, J4-J20-J22-J24-J25-J27-J28-J29-J30-J31-J32)</f>
        <v>1161754541530.0071</v>
      </c>
      <c r="K21" s="88">
        <f>MAX(PD_Operation!$H$24, K4-K20-K22-K24-K25-K27-K28-K29-K30-K31-K32)</f>
        <v>793385871116.604</v>
      </c>
      <c r="L21" s="88">
        <f>MAX(PD_Operation!$H$24, L4-L20-L22-L24-L25-L27-L28-L29-L30-L31-L32)</f>
        <v>352349826156.22827</v>
      </c>
      <c r="M21" s="88">
        <f>MAX(PD_Operation!$H$24, M4-M20-M22-M24-M25-M27-M28-M29-M30-M31-M32)</f>
        <v>304271257481</v>
      </c>
      <c r="N21" s="88">
        <f>MAX(PD_Operation!$H$24, N4-N20-N22-N24-N25-N27-N28-N29-N30-N31-N32)</f>
        <v>304271257481</v>
      </c>
    </row>
    <row r="22" spans="2:14" ht="14.4">
      <c r="B22" s="65" t="s">
        <v>850</v>
      </c>
      <c r="C22" s="84" t="s">
        <v>673</v>
      </c>
      <c r="D22" s="85">
        <f>'IP_BS Raw'!E75+'IP_BS Raw'!E76+'IP_BS Raw'!E77+'IP_BS Raw'!E78+'IP_BS Raw'!E79+'IP_BS Raw'!E80+'IP_BS Raw'!E81+'IP_BS Raw'!E82+'IP_BS Raw'!E84+'IP_BS Raw'!E85+'IP_BS Raw'!E86+'IP_BS Raw'!E87</f>
        <v>185411608324</v>
      </c>
      <c r="E22" s="85">
        <f>'IP_BS Raw'!F75+'IP_BS Raw'!F76+'IP_BS Raw'!F77+'IP_BS Raw'!F78+'IP_BS Raw'!F79+'IP_BS Raw'!F80+'IP_BS Raw'!F81+'IP_BS Raw'!F82+'IP_BS Raw'!F84+'IP_BS Raw'!F85+'IP_BS Raw'!F86+'IP_BS Raw'!F87</f>
        <v>137996235974</v>
      </c>
      <c r="F22" s="85">
        <f>'IP_BS Raw'!G75+'IP_BS Raw'!G76+'IP_BS Raw'!G77+'IP_BS Raw'!G78+'IP_BS Raw'!G79+'IP_BS Raw'!G80+'IP_BS Raw'!G81+'IP_BS Raw'!G82+'IP_BS Raw'!G84+'IP_BS Raw'!G85+'IP_BS Raw'!G86+'IP_BS Raw'!G87</f>
        <v>139117852894</v>
      </c>
      <c r="G22" s="86">
        <f>'IP_BS Raw'!H75+'IP_BS Raw'!H76+'IP_BS Raw'!H77+'IP_BS Raw'!H78+'IP_BS Raw'!H79+'IP_BS Raw'!H80+'IP_BS Raw'!H81+'IP_BS Raw'!H82+'IP_BS Raw'!H84+'IP_BS Raw'!H85+'IP_BS Raw'!H86+'IP_BS Raw'!H87</f>
        <v>298030185598</v>
      </c>
      <c r="H22" s="87">
        <f>'IP_BS Raw'!I75+'IP_BS Raw'!I76+'IP_BS Raw'!I77+'IP_BS Raw'!I78+'IP_BS Raw'!I79+'IP_BS Raw'!I80+'IP_BS Raw'!I81+'IP_BS Raw'!I82+'IP_BS Raw'!I84+'IP_BS Raw'!I85+'IP_BS Raw'!I86+'IP_BS Raw'!I87</f>
        <v>177361413526</v>
      </c>
      <c r="I22" s="88">
        <f>PD_Operation!I20*OD_IS!I4</f>
        <v>424728701742.60382</v>
      </c>
      <c r="J22" s="88">
        <f>PD_Operation!J20*OD_IS!J4</f>
        <v>518169016125.97662</v>
      </c>
      <c r="K22" s="88">
        <f>PD_Operation!K20*OD_IS!K4</f>
        <v>595894368544.87317</v>
      </c>
      <c r="L22" s="88">
        <f>PD_Operation!L20*OD_IS!L4</f>
        <v>661442749084.8092</v>
      </c>
      <c r="M22" s="88">
        <f>PD_Operation!M20*OD_IS!M4</f>
        <v>714358169011.59399</v>
      </c>
      <c r="N22" s="88">
        <f>PD_Operation!N20*OD_IS!N4</f>
        <v>750076077462.17358</v>
      </c>
    </row>
    <row r="23" spans="2:14" ht="14.4">
      <c r="B23" s="78" t="s">
        <v>663</v>
      </c>
      <c r="C23" s="79" t="s">
        <v>673</v>
      </c>
      <c r="D23" s="80">
        <f t="shared" ref="D23:G23" si="18">SUM(D24:D25)</f>
        <v>91046386521</v>
      </c>
      <c r="E23" s="80">
        <f t="shared" si="18"/>
        <v>18701860119</v>
      </c>
      <c r="F23" s="80">
        <f t="shared" si="18"/>
        <v>68475256799</v>
      </c>
      <c r="G23" s="81">
        <f t="shared" si="18"/>
        <v>50006060793</v>
      </c>
      <c r="H23" s="82">
        <f>SUM(H24:H25)</f>
        <v>44904016385</v>
      </c>
      <c r="I23" s="83">
        <f t="shared" ref="I23:N23" si="19">SUM(I24:I25)</f>
        <v>44904016385</v>
      </c>
      <c r="J23" s="83">
        <f t="shared" si="19"/>
        <v>44904016385</v>
      </c>
      <c r="K23" s="83">
        <f t="shared" si="19"/>
        <v>44904016385</v>
      </c>
      <c r="L23" s="83">
        <f t="shared" si="19"/>
        <v>44904016385</v>
      </c>
      <c r="M23" s="83">
        <f t="shared" si="19"/>
        <v>44904016385</v>
      </c>
      <c r="N23" s="83">
        <f t="shared" si="19"/>
        <v>44904016385</v>
      </c>
    </row>
    <row r="24" spans="2:14" ht="14.4">
      <c r="B24" s="65" t="s">
        <v>851</v>
      </c>
      <c r="C24" s="84" t="s">
        <v>673</v>
      </c>
      <c r="D24" s="85">
        <f>'IP_BS Raw'!E96</f>
        <v>71000000000</v>
      </c>
      <c r="E24" s="85">
        <f>'IP_BS Raw'!F96</f>
        <v>1000000000</v>
      </c>
      <c r="F24" s="85">
        <f>'IP_BS Raw'!G96</f>
        <v>39014432856</v>
      </c>
      <c r="G24" s="86">
        <f>'IP_BS Raw'!H96</f>
        <v>50006060793</v>
      </c>
      <c r="H24" s="87">
        <f>'IP_BS Raw'!I96</f>
        <v>36866802037</v>
      </c>
      <c r="I24" s="88">
        <f>PD_Operation!I25</f>
        <v>36866802037</v>
      </c>
      <c r="J24" s="88">
        <f>PD_Operation!J25</f>
        <v>36866802037</v>
      </c>
      <c r="K24" s="88">
        <f>PD_Operation!K25</f>
        <v>36866802037</v>
      </c>
      <c r="L24" s="88">
        <f>PD_Operation!L25</f>
        <v>36866802037</v>
      </c>
      <c r="M24" s="88">
        <f>PD_Operation!M25</f>
        <v>36866802037</v>
      </c>
      <c r="N24" s="88">
        <f>PD_Operation!N25</f>
        <v>36866802037</v>
      </c>
    </row>
    <row r="25" spans="2:14" ht="14.4">
      <c r="B25" s="65" t="s">
        <v>852</v>
      </c>
      <c r="C25" s="84" t="s">
        <v>673</v>
      </c>
      <c r="D25" s="85">
        <f>'IP_BS Raw'!E88-'IP_BS Raw'!E96</f>
        <v>20046386521</v>
      </c>
      <c r="E25" s="85">
        <f>'IP_BS Raw'!F88-'IP_BS Raw'!F96</f>
        <v>17701860119</v>
      </c>
      <c r="F25" s="85">
        <f>'IP_BS Raw'!G88-'IP_BS Raw'!G96</f>
        <v>29460823943</v>
      </c>
      <c r="G25" s="86">
        <f>'IP_BS Raw'!H88-'IP_BS Raw'!H96</f>
        <v>0</v>
      </c>
      <c r="H25" s="87">
        <f>'IP_BS Raw'!I88-'IP_BS Raw'!I96</f>
        <v>8037214348</v>
      </c>
      <c r="I25" s="88">
        <f t="shared" ref="I25:N25" si="20">H25</f>
        <v>8037214348</v>
      </c>
      <c r="J25" s="88">
        <f t="shared" si="20"/>
        <v>8037214348</v>
      </c>
      <c r="K25" s="88">
        <f t="shared" si="20"/>
        <v>8037214348</v>
      </c>
      <c r="L25" s="88">
        <f t="shared" si="20"/>
        <v>8037214348</v>
      </c>
      <c r="M25" s="88">
        <f t="shared" si="20"/>
        <v>8037214348</v>
      </c>
      <c r="N25" s="88">
        <f t="shared" si="20"/>
        <v>8037214348</v>
      </c>
    </row>
    <row r="26" spans="2:14" ht="14.4">
      <c r="B26" s="89" t="s">
        <v>853</v>
      </c>
      <c r="C26" s="90" t="s">
        <v>673</v>
      </c>
      <c r="D26" s="91">
        <f t="shared" ref="D26:G26" si="21">SUM(D27:D32)</f>
        <v>564648146102</v>
      </c>
      <c r="E26" s="91">
        <f t="shared" si="21"/>
        <v>575686086712</v>
      </c>
      <c r="F26" s="91">
        <f t="shared" si="21"/>
        <v>412352865379</v>
      </c>
      <c r="G26" s="92">
        <f t="shared" si="21"/>
        <v>182917387660</v>
      </c>
      <c r="H26" s="93">
        <f>SUM(H27:H32)</f>
        <v>130612540579</v>
      </c>
      <c r="I26" s="94">
        <f t="shared" ref="I26:N26" si="22">SUM(I27:I32)</f>
        <v>211393055414.35129</v>
      </c>
      <c r="J26" s="94">
        <f t="shared" si="22"/>
        <v>320709002812.48602</v>
      </c>
      <c r="K26" s="94">
        <f t="shared" si="22"/>
        <v>473950679633.22662</v>
      </c>
      <c r="L26" s="94">
        <f t="shared" si="22"/>
        <v>678684763799.0238</v>
      </c>
      <c r="M26" s="94">
        <f t="shared" si="22"/>
        <v>921235666982.26978</v>
      </c>
      <c r="N26" s="94">
        <f t="shared" si="22"/>
        <v>1162133836097.5691</v>
      </c>
    </row>
    <row r="27" spans="2:14" ht="14.4">
      <c r="B27" s="65" t="s">
        <v>854</v>
      </c>
      <c r="C27" s="84" t="s">
        <v>673</v>
      </c>
      <c r="D27" s="85">
        <f>'IP_BS Raw'!E106</f>
        <v>0</v>
      </c>
      <c r="E27" s="85">
        <f>'IP_BS Raw'!F106</f>
        <v>0</v>
      </c>
      <c r="F27" s="85">
        <f>'IP_BS Raw'!G106</f>
        <v>0</v>
      </c>
      <c r="G27" s="86">
        <f>'IP_BS Raw'!H106</f>
        <v>0</v>
      </c>
      <c r="H27" s="87">
        <f>'IP_BS Raw'!I106</f>
        <v>0</v>
      </c>
      <c r="I27" s="88">
        <f t="shared" ref="I27:N27" si="23">H27</f>
        <v>0</v>
      </c>
      <c r="J27" s="88">
        <f t="shared" si="23"/>
        <v>0</v>
      </c>
      <c r="K27" s="88">
        <f t="shared" si="23"/>
        <v>0</v>
      </c>
      <c r="L27" s="88">
        <f t="shared" si="23"/>
        <v>0</v>
      </c>
      <c r="M27" s="88">
        <f t="shared" si="23"/>
        <v>0</v>
      </c>
      <c r="N27" s="88">
        <f t="shared" si="23"/>
        <v>0</v>
      </c>
    </row>
    <row r="28" spans="2:14" ht="14.4">
      <c r="B28" s="65" t="s">
        <v>855</v>
      </c>
      <c r="C28" s="84" t="s">
        <v>673</v>
      </c>
      <c r="D28" s="85">
        <f>'IP_BS Raw'!E107</f>
        <v>0</v>
      </c>
      <c r="E28" s="85">
        <f>'IP_BS Raw'!F107</f>
        <v>0</v>
      </c>
      <c r="F28" s="85">
        <f>'IP_BS Raw'!G107</f>
        <v>0</v>
      </c>
      <c r="G28" s="86">
        <f>'IP_BS Raw'!H107</f>
        <v>0</v>
      </c>
      <c r="H28" s="87">
        <f>'IP_BS Raw'!I107</f>
        <v>0</v>
      </c>
      <c r="I28" s="88">
        <f t="shared" ref="I28:N28" si="24">H28</f>
        <v>0</v>
      </c>
      <c r="J28" s="88">
        <f t="shared" si="24"/>
        <v>0</v>
      </c>
      <c r="K28" s="88">
        <f t="shared" si="24"/>
        <v>0</v>
      </c>
      <c r="L28" s="88">
        <f t="shared" si="24"/>
        <v>0</v>
      </c>
      <c r="M28" s="88">
        <f t="shared" si="24"/>
        <v>0</v>
      </c>
      <c r="N28" s="88">
        <f t="shared" si="24"/>
        <v>0</v>
      </c>
    </row>
    <row r="29" spans="2:14" ht="14.4">
      <c r="B29" s="65" t="s">
        <v>856</v>
      </c>
      <c r="C29" s="84" t="s">
        <v>673</v>
      </c>
      <c r="D29" s="85">
        <f>'IP_BS Raw'!E108</f>
        <v>550873478254</v>
      </c>
      <c r="E29" s="85">
        <f>'IP_BS Raw'!F108</f>
        <v>550873478254</v>
      </c>
      <c r="F29" s="85">
        <f>'IP_BS Raw'!G108</f>
        <v>140518254</v>
      </c>
      <c r="G29" s="86">
        <f>'IP_BS Raw'!H108</f>
        <v>140518254</v>
      </c>
      <c r="H29" s="87">
        <f>'IP_BS Raw'!I108</f>
        <v>75418254</v>
      </c>
      <c r="I29" s="88">
        <f t="shared" ref="I29:N29" si="25">H29</f>
        <v>75418254</v>
      </c>
      <c r="J29" s="88">
        <f t="shared" si="25"/>
        <v>75418254</v>
      </c>
      <c r="K29" s="88">
        <f t="shared" si="25"/>
        <v>75418254</v>
      </c>
      <c r="L29" s="88">
        <f t="shared" si="25"/>
        <v>75418254</v>
      </c>
      <c r="M29" s="88">
        <f t="shared" si="25"/>
        <v>75418254</v>
      </c>
      <c r="N29" s="88">
        <f t="shared" si="25"/>
        <v>75418254</v>
      </c>
    </row>
    <row r="30" spans="2:14" ht="14.4">
      <c r="B30" s="65" t="s">
        <v>857</v>
      </c>
      <c r="C30" s="84" t="s">
        <v>673</v>
      </c>
      <c r="D30" s="85">
        <f>'IP_BS Raw'!E118</f>
        <v>20536615720</v>
      </c>
      <c r="E30" s="85">
        <f>'IP_BS Raw'!F118</f>
        <v>12261220660</v>
      </c>
      <c r="F30" s="85">
        <f>'IP_BS Raw'!G118</f>
        <v>708163</v>
      </c>
      <c r="G30" s="86">
        <f>'IP_BS Raw'!H118</f>
        <v>125708063567</v>
      </c>
      <c r="H30" s="87">
        <f>'IP_BS Raw'!I118</f>
        <v>76561931411</v>
      </c>
      <c r="I30" s="88">
        <f>H30+OD_IS!I21-(OD_IS!I21*PD_Operation!I26)</f>
        <v>157342446246.35129</v>
      </c>
      <c r="J30" s="88">
        <f>I30+OD_IS!J21-(OD_IS!J21*PD_Operation!J26)</f>
        <v>266658393644.48602</v>
      </c>
      <c r="K30" s="88">
        <f>J30+OD_IS!K21-(OD_IS!K21*PD_Operation!K26)</f>
        <v>419900070465.22662</v>
      </c>
      <c r="L30" s="88">
        <f>K30+OD_IS!L21-(OD_IS!L21*PD_Operation!L26)</f>
        <v>624634154631.0238</v>
      </c>
      <c r="M30" s="88">
        <f>L30+OD_IS!M21-(OD_IS!M21*PD_Operation!M26)</f>
        <v>867185057814.26978</v>
      </c>
      <c r="N30" s="88">
        <f>M30+OD_IS!N21-(OD_IS!N21*PD_Operation!N26)</f>
        <v>1108083226929.5691</v>
      </c>
    </row>
    <row r="31" spans="2:14" ht="14.4">
      <c r="B31" s="65" t="s">
        <v>306</v>
      </c>
      <c r="C31" s="84" t="s">
        <v>673</v>
      </c>
      <c r="D31" s="85">
        <f>'IP_BS Raw'!E121</f>
        <v>-6506464721</v>
      </c>
      <c r="E31" s="85">
        <f>'IP_BS Raw'!F121</f>
        <v>12551387798</v>
      </c>
      <c r="F31" s="85">
        <f>'IP_BS Raw'!G121</f>
        <v>412211638962</v>
      </c>
      <c r="G31" s="86">
        <f>'IP_BS Raw'!H121</f>
        <v>57068805839</v>
      </c>
      <c r="H31" s="87">
        <f>'IP_BS Raw'!I121</f>
        <v>53940074673</v>
      </c>
      <c r="I31" s="88">
        <f t="shared" ref="I31:N31" si="26">H31</f>
        <v>53940074673</v>
      </c>
      <c r="J31" s="88">
        <f t="shared" si="26"/>
        <v>53940074673</v>
      </c>
      <c r="K31" s="88">
        <f t="shared" si="26"/>
        <v>53940074673</v>
      </c>
      <c r="L31" s="88">
        <f t="shared" si="26"/>
        <v>53940074673</v>
      </c>
      <c r="M31" s="88">
        <f t="shared" si="26"/>
        <v>53940074673</v>
      </c>
      <c r="N31" s="88">
        <f t="shared" si="26"/>
        <v>53940074673</v>
      </c>
    </row>
    <row r="32" spans="2:14" ht="14.4">
      <c r="B32" s="65" t="s">
        <v>858</v>
      </c>
      <c r="C32" s="84" t="s">
        <v>673</v>
      </c>
      <c r="D32" s="85">
        <f>'IP_BS Raw'!E109+'IP_BS Raw'!E110+'IP_BS Raw'!E111+'IP_BS Raw'!E112+'IP_BS Raw'!E113+'IP_BS Raw'!E114+'IP_BS Raw'!E115+'IP_BS Raw'!E116+'IP_BS Raw'!E117+'IP_BS Raw'!E122+'IP_BS Raw'!E125</f>
        <v>-255483151</v>
      </c>
      <c r="E32" s="85">
        <f>'IP_BS Raw'!F109+'IP_BS Raw'!F110+'IP_BS Raw'!F111+'IP_BS Raw'!F112+'IP_BS Raw'!F113+'IP_BS Raw'!F114+'IP_BS Raw'!F115+'IP_BS Raw'!F116+'IP_BS Raw'!F117+'IP_BS Raw'!F122+'IP_BS Raw'!F125</f>
        <v>0</v>
      </c>
      <c r="F32" s="85">
        <f>'IP_BS Raw'!G109+'IP_BS Raw'!G110+'IP_BS Raw'!G111+'IP_BS Raw'!G112+'IP_BS Raw'!G113+'IP_BS Raw'!G114+'IP_BS Raw'!G115+'IP_BS Raw'!G116+'IP_BS Raw'!G117+'IP_BS Raw'!G122+'IP_BS Raw'!G125</f>
        <v>0</v>
      </c>
      <c r="G32" s="86">
        <f>'IP_BS Raw'!H109+'IP_BS Raw'!H110+'IP_BS Raw'!H111+'IP_BS Raw'!H112+'IP_BS Raw'!H113+'IP_BS Raw'!H114+'IP_BS Raw'!H115+'IP_BS Raw'!H116+'IP_BS Raw'!H117+'IP_BS Raw'!H122+'IP_BS Raw'!H125</f>
        <v>0</v>
      </c>
      <c r="H32" s="87">
        <f>'IP_BS Raw'!I109+'IP_BS Raw'!I110+'IP_BS Raw'!I111+'IP_BS Raw'!I112+'IP_BS Raw'!I113+'IP_BS Raw'!I114+'IP_BS Raw'!I115+'IP_BS Raw'!I116+'IP_BS Raw'!I117+'IP_BS Raw'!I122+'IP_BS Raw'!I125</f>
        <v>35116241</v>
      </c>
      <c r="I32" s="88">
        <f t="shared" ref="I32:N32" si="27">H32</f>
        <v>35116241</v>
      </c>
      <c r="J32" s="88">
        <f t="shared" si="27"/>
        <v>35116241</v>
      </c>
      <c r="K32" s="88">
        <f t="shared" si="27"/>
        <v>35116241</v>
      </c>
      <c r="L32" s="88">
        <f t="shared" si="27"/>
        <v>35116241</v>
      </c>
      <c r="M32" s="88">
        <f t="shared" si="27"/>
        <v>35116241</v>
      </c>
      <c r="N32" s="88">
        <f t="shared" si="27"/>
        <v>35116241</v>
      </c>
    </row>
    <row r="33" spans="1:74" ht="14.4">
      <c r="B33" s="65"/>
      <c r="C33" s="84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8"/>
    </row>
    <row r="34" spans="1:74" s="50" customFormat="1" ht="14.4">
      <c r="B34" s="101" t="s">
        <v>859</v>
      </c>
      <c r="C34" s="102"/>
      <c r="D34" s="103">
        <f t="shared" ref="D34:G34" si="28">D4-D18</f>
        <v>329239473399</v>
      </c>
      <c r="E34" s="103">
        <f t="shared" si="28"/>
        <v>402048507532</v>
      </c>
      <c r="F34" s="103">
        <f t="shared" si="28"/>
        <v>1001773907717</v>
      </c>
      <c r="G34" s="104">
        <f t="shared" si="28"/>
        <v>1618824361071</v>
      </c>
      <c r="H34" s="105">
        <f>H4-H18</f>
        <v>2259991353316</v>
      </c>
      <c r="I34" s="106">
        <f t="shared" ref="I34:N34" si="29">I4-I18</f>
        <v>0</v>
      </c>
      <c r="J34" s="106">
        <f t="shared" si="29"/>
        <v>0</v>
      </c>
      <c r="K34" s="106">
        <f t="shared" si="29"/>
        <v>0</v>
      </c>
      <c r="L34" s="106">
        <f t="shared" si="29"/>
        <v>0</v>
      </c>
      <c r="M34" s="106">
        <f t="shared" si="29"/>
        <v>-353738344554.32324</v>
      </c>
      <c r="N34" s="106">
        <f t="shared" si="29"/>
        <v>-763379005369.58032</v>
      </c>
    </row>
    <row r="35" spans="1:74" ht="14.4">
      <c r="B35" s="65"/>
      <c r="C35" s="84"/>
      <c r="D35" s="85"/>
      <c r="E35" s="85"/>
      <c r="F35" s="85"/>
      <c r="G35" s="86"/>
      <c r="H35" s="87"/>
      <c r="I35" s="88"/>
      <c r="J35" s="88"/>
      <c r="K35" s="88"/>
      <c r="L35" s="88"/>
      <c r="M35" s="88"/>
      <c r="N35" s="88"/>
    </row>
    <row r="36" spans="1:74" s="7" customFormat="1" ht="14.4">
      <c r="B36" s="107" t="s">
        <v>860</v>
      </c>
      <c r="C36" s="108"/>
      <c r="D36" s="109"/>
      <c r="E36" s="109">
        <f t="shared" ref="E36:G36" si="30">SUM(E37:E41)</f>
        <v>477164295394</v>
      </c>
      <c r="F36" s="109">
        <f t="shared" si="30"/>
        <v>-326219812855</v>
      </c>
      <c r="G36" s="110">
        <f t="shared" si="30"/>
        <v>-30542466378</v>
      </c>
      <c r="H36" s="111">
        <f>SUM(H37:H41)</f>
        <v>-359136449754</v>
      </c>
      <c r="I36" s="112">
        <f t="shared" ref="I36:N36" si="31">SUM(I37:I41)</f>
        <v>866066949291.76294</v>
      </c>
      <c r="J36" s="112">
        <f t="shared" si="31"/>
        <v>91669279911.458588</v>
      </c>
      <c r="K36" s="112">
        <f t="shared" si="31"/>
        <v>59081479511.376572</v>
      </c>
      <c r="L36" s="112">
        <f t="shared" si="31"/>
        <v>79628940164.350815</v>
      </c>
      <c r="M36" s="112">
        <f t="shared" si="31"/>
        <v>-1258664734.3406677</v>
      </c>
      <c r="N36" s="112">
        <f t="shared" si="31"/>
        <v>191583180.28020477</v>
      </c>
    </row>
    <row r="37" spans="1:74" ht="14.4">
      <c r="B37" s="65" t="s">
        <v>861</v>
      </c>
      <c r="C37" s="84"/>
      <c r="D37" s="85"/>
      <c r="E37" s="85">
        <f t="shared" ref="E37:G37" si="32">D8-E8</f>
        <v>518260653500</v>
      </c>
      <c r="F37" s="85">
        <f t="shared" si="32"/>
        <v>-304098489463</v>
      </c>
      <c r="G37" s="86">
        <f t="shared" si="32"/>
        <v>-256535030165</v>
      </c>
      <c r="H37" s="87">
        <f>G8-H8</f>
        <v>-203269495903</v>
      </c>
      <c r="I37" s="88">
        <f t="shared" ref="I37:N37" si="33">H8-I8</f>
        <v>604668878688.72058</v>
      </c>
      <c r="J37" s="88">
        <f t="shared" si="33"/>
        <v>-11675517815.904663</v>
      </c>
      <c r="K37" s="88">
        <f t="shared" si="33"/>
        <v>-24927230536.956421</v>
      </c>
      <c r="L37" s="88">
        <f t="shared" si="33"/>
        <v>9828450897.4285889</v>
      </c>
      <c r="M37" s="88">
        <f t="shared" si="33"/>
        <v>-58184429312.776978</v>
      </c>
      <c r="N37" s="88">
        <f t="shared" si="33"/>
        <v>-39274489786.124512</v>
      </c>
    </row>
    <row r="38" spans="1:74" ht="14.4">
      <c r="B38" s="65" t="s">
        <v>862</v>
      </c>
      <c r="C38" s="84"/>
      <c r="D38" s="85"/>
      <c r="E38" s="85">
        <f t="shared" ref="E38:G38" si="34">D9-E9</f>
        <v>15212498293</v>
      </c>
      <c r="F38" s="85">
        <f t="shared" si="34"/>
        <v>-13657605992</v>
      </c>
      <c r="G38" s="86">
        <f t="shared" si="34"/>
        <v>-11636244021</v>
      </c>
      <c r="H38" s="87">
        <f>G9-H9</f>
        <v>-57050987425</v>
      </c>
      <c r="I38" s="88">
        <f t="shared" ref="I38:N38" si="35">H9-I9</f>
        <v>-10061050143.578278</v>
      </c>
      <c r="J38" s="88">
        <f t="shared" si="35"/>
        <v>-22228398488.36554</v>
      </c>
      <c r="K38" s="88">
        <f t="shared" si="35"/>
        <v>-16041163462.697693</v>
      </c>
      <c r="L38" s="88">
        <f t="shared" si="35"/>
        <v>-12217010625.882935</v>
      </c>
      <c r="M38" s="88">
        <f t="shared" si="35"/>
        <v>-10585987497.880432</v>
      </c>
      <c r="N38" s="88">
        <f t="shared" si="35"/>
        <v>-8449472502.8702393</v>
      </c>
    </row>
    <row r="39" spans="1:74" ht="14.4">
      <c r="B39" s="65" t="s">
        <v>863</v>
      </c>
      <c r="C39" s="84"/>
      <c r="D39" s="85"/>
      <c r="E39" s="85">
        <f t="shared" ref="E39:G39" si="36">D10-E10</f>
        <v>-4749968844</v>
      </c>
      <c r="F39" s="85">
        <f t="shared" si="36"/>
        <v>-24556637190</v>
      </c>
      <c r="G39" s="86">
        <f t="shared" si="36"/>
        <v>39278818919</v>
      </c>
      <c r="H39" s="87">
        <f>G10-H10</f>
        <v>10349985760</v>
      </c>
      <c r="I39" s="88">
        <f t="shared" ref="I39:N39" si="37">H10-I10</f>
        <v>-20902537555.402428</v>
      </c>
      <c r="J39" s="88">
        <f t="shared" si="37"/>
        <v>-7844773841.1685257</v>
      </c>
      <c r="K39" s="88">
        <f t="shared" si="37"/>
        <v>-6525425513.3356476</v>
      </c>
      <c r="L39" s="88">
        <f t="shared" si="37"/>
        <v>-5503108849.5797272</v>
      </c>
      <c r="M39" s="88">
        <f t="shared" si="37"/>
        <v>-4442509689.4789047</v>
      </c>
      <c r="N39" s="88">
        <f t="shared" si="37"/>
        <v>-2998694040.398262</v>
      </c>
    </row>
    <row r="40" spans="1:74" ht="14.4">
      <c r="B40" s="65" t="s">
        <v>864</v>
      </c>
      <c r="C40" s="84"/>
      <c r="D40" s="85"/>
      <c r="E40" s="85">
        <f t="shared" ref="E40:G40" si="38">E20-D20</f>
        <v>-4143515205</v>
      </c>
      <c r="F40" s="85">
        <f t="shared" si="38"/>
        <v>14971302870</v>
      </c>
      <c r="G40" s="86">
        <f t="shared" si="38"/>
        <v>39437656185</v>
      </c>
      <c r="H40" s="87">
        <f>H20-G20</f>
        <v>11502819886</v>
      </c>
      <c r="I40" s="88">
        <f t="shared" ref="I40:N40" si="39">I20-H20</f>
        <v>44994370085.41922</v>
      </c>
      <c r="J40" s="88">
        <f t="shared" si="39"/>
        <v>39977655673.524506</v>
      </c>
      <c r="K40" s="88">
        <f t="shared" si="39"/>
        <v>28849946605.469788</v>
      </c>
      <c r="L40" s="88">
        <f t="shared" si="39"/>
        <v>21972228202.448853</v>
      </c>
      <c r="M40" s="88">
        <f t="shared" si="39"/>
        <v>19038841839.010864</v>
      </c>
      <c r="N40" s="88">
        <f t="shared" si="39"/>
        <v>15196331059.093628</v>
      </c>
    </row>
    <row r="41" spans="1:74" ht="14.4">
      <c r="B41" s="65" t="s">
        <v>865</v>
      </c>
      <c r="C41" s="84"/>
      <c r="D41" s="85"/>
      <c r="E41" s="85">
        <f t="shared" ref="E41:G41" si="40">E22-D22</f>
        <v>-47415372350</v>
      </c>
      <c r="F41" s="85">
        <f t="shared" si="40"/>
        <v>1121616920</v>
      </c>
      <c r="G41" s="86">
        <f t="shared" si="40"/>
        <v>158912332704</v>
      </c>
      <c r="H41" s="87">
        <f>H22-G22</f>
        <v>-120668772072</v>
      </c>
      <c r="I41" s="88">
        <f t="shared" ref="I41:N41" si="41">I22-H22</f>
        <v>247367288216.60382</v>
      </c>
      <c r="J41" s="88">
        <f t="shared" si="41"/>
        <v>93440314383.372803</v>
      </c>
      <c r="K41" s="88">
        <f t="shared" si="41"/>
        <v>77725352418.896545</v>
      </c>
      <c r="L41" s="88">
        <f t="shared" si="41"/>
        <v>65548380539.936035</v>
      </c>
      <c r="M41" s="88">
        <f t="shared" si="41"/>
        <v>52915419926.78479</v>
      </c>
      <c r="N41" s="88">
        <f t="shared" si="41"/>
        <v>35717908450.57959</v>
      </c>
    </row>
    <row r="42" spans="1:74" ht="14.4">
      <c r="B42" s="65"/>
      <c r="C42" s="84"/>
      <c r="D42" s="113"/>
      <c r="E42" s="113"/>
      <c r="F42" s="113"/>
      <c r="G42" s="114"/>
      <c r="H42" s="115"/>
      <c r="I42" s="116"/>
      <c r="J42" s="116"/>
      <c r="K42" s="116"/>
      <c r="L42" s="116"/>
      <c r="M42" s="116"/>
      <c r="N42" s="116"/>
    </row>
    <row r="43" spans="1:74" ht="14.4">
      <c r="A43" s="7"/>
      <c r="B43" s="107" t="s">
        <v>866</v>
      </c>
      <c r="C43" s="108"/>
      <c r="D43" s="117"/>
      <c r="E43" s="117"/>
      <c r="F43" s="117"/>
      <c r="G43" s="118"/>
      <c r="H43" s="119"/>
      <c r="I43" s="120"/>
      <c r="J43" s="120"/>
      <c r="K43" s="120"/>
      <c r="L43" s="120"/>
      <c r="M43" s="120"/>
      <c r="N43" s="120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</row>
    <row r="44" spans="1:74" ht="14.4">
      <c r="B44" s="65" t="s">
        <v>867</v>
      </c>
      <c r="C44" s="84"/>
      <c r="D44" s="121"/>
      <c r="E44" s="121">
        <f>365*(((E8+D8)/2)/OD_IS!E4)</f>
        <v>930.06476612029405</v>
      </c>
      <c r="F44" s="121">
        <f>365*(((F8+E8)/2)/OD_IS!F4)</f>
        <v>614.74805311133446</v>
      </c>
      <c r="G44" s="122">
        <f>365*(((G8+F8)/2)/OD_IS!G4)</f>
        <v>346.34903935648128</v>
      </c>
      <c r="H44" s="123">
        <f>365*(((H8+G8)/2)/OD_IS!H4)</f>
        <v>268.01976310936186</v>
      </c>
      <c r="I44" s="124">
        <f>365*(((I8+H8)/2)/OD_IS!I4)</f>
        <v>171.78946991670267</v>
      </c>
      <c r="J44" s="124">
        <f>365*(((J8+I8)/2)/OD_IS!J4)</f>
        <v>99.180327868852459</v>
      </c>
      <c r="K44" s="124">
        <f>365*(((K8+J8)/2)/OD_IS!K4)</f>
        <v>88.478260869565219</v>
      </c>
      <c r="L44" s="124">
        <f>365*(((L8+K8)/2)/OD_IS!L4)</f>
        <v>80.540540540540547</v>
      </c>
      <c r="M44" s="124">
        <f>365*(((M8+L8)/2)/OD_IS!M4)</f>
        <v>77.037037037037024</v>
      </c>
      <c r="N44" s="124">
        <f>365*(((N8+M8)/2)/OD_IS!N4)</f>
        <v>78.095238095238088</v>
      </c>
    </row>
    <row r="45" spans="1:74" ht="14.4">
      <c r="B45" s="65" t="s">
        <v>869</v>
      </c>
      <c r="C45" s="84"/>
      <c r="D45" s="125"/>
      <c r="E45" s="125">
        <f>365*(((E9+D9)/2)/-OD_IS!E5)</f>
        <v>40.247904021167614</v>
      </c>
      <c r="F45" s="125">
        <f>365*(((F9+E9)/2)/-OD_IS!F5)</f>
        <v>27.502707636416098</v>
      </c>
      <c r="G45" s="126">
        <f>365*(((G9+F9)/2)/-OD_IS!G5)</f>
        <v>14.931599657028629</v>
      </c>
      <c r="H45" s="127">
        <f>365*(((H9+G9)/2)/-OD_IS!H5)</f>
        <v>17.770415870894848</v>
      </c>
      <c r="I45" s="128">
        <f>365*(((I9+H9)/2)/-OD_IS!I5)</f>
        <v>20.25780636324917</v>
      </c>
      <c r="J45" s="128">
        <f>365*(((J9+I9)/2)/-OD_IS!J5)</f>
        <v>19.433721318782638</v>
      </c>
      <c r="K45" s="128">
        <f>365*(((K9+J9)/2)/-OD_IS!K5)</f>
        <v>20.082494854437858</v>
      </c>
      <c r="L45" s="128">
        <f>365*(((L9+K9)/2)/-OD_IS!L5)</f>
        <v>20.428894513412359</v>
      </c>
      <c r="M45" s="128">
        <f>365*(((M9+L9)/2)/-OD_IS!M5)</f>
        <v>20.582764191699482</v>
      </c>
      <c r="N45" s="128">
        <f>365*(((N9+M9)/2)/-OD_IS!N5)</f>
        <v>20.742379679884888</v>
      </c>
    </row>
    <row r="46" spans="1:74" ht="14.4">
      <c r="B46" s="65" t="s">
        <v>870</v>
      </c>
      <c r="C46" s="84"/>
      <c r="D46" s="125"/>
      <c r="E46" s="125">
        <f>365*(((E20+D20)/2)/-OD_IS!E5)</f>
        <v>148.4292797591967</v>
      </c>
      <c r="F46" s="125">
        <f>365*(((F20+E20)/2)/-OD_IS!F5)</f>
        <v>111.62140225056201</v>
      </c>
      <c r="G46" s="126">
        <f>365*(((G20+F20)/2)/-OD_IS!G5)</f>
        <v>50.305257483939826</v>
      </c>
      <c r="H46" s="127">
        <f>365*(((H20+G20)/2)/-OD_IS!H5)</f>
        <v>36.740764965325937</v>
      </c>
      <c r="I46" s="128">
        <f>365*(((I20+H20)/2)/-OD_IS!I5)</f>
        <v>33.785356010735349</v>
      </c>
      <c r="J46" s="128">
        <f>365*(((J20+I20)/2)/-OD_IS!J5)</f>
        <v>34.951443746348431</v>
      </c>
      <c r="K46" s="128">
        <f>365*(((K20+J20)/2)/-OD_IS!K5)</f>
        <v>36.118259476779706</v>
      </c>
      <c r="L46" s="128">
        <f>365*(((L20+K20)/2)/-OD_IS!L5)</f>
        <v>36.741257408869011</v>
      </c>
      <c r="M46" s="128">
        <f>365*(((M20+L20)/2)/-OD_IS!M5)</f>
        <v>37.017991201471219</v>
      </c>
      <c r="N46" s="128">
        <f>365*(((N20+M20)/2)/-OD_IS!N5)</f>
        <v>37.305058802413207</v>
      </c>
    </row>
    <row r="47" spans="1:74" ht="14.4">
      <c r="B47" s="65" t="s">
        <v>871</v>
      </c>
      <c r="C47" s="84" t="s">
        <v>677</v>
      </c>
      <c r="D47" s="129">
        <f>D10/OD_IS!D4</f>
        <v>3.2494183200136653E-2</v>
      </c>
      <c r="E47" s="129">
        <f>E10/OD_IS!E4</f>
        <v>0.12678959267860052</v>
      </c>
      <c r="F47" s="129">
        <f>F10/OD_IS!F4</f>
        <v>0.15639913735969715</v>
      </c>
      <c r="G47" s="130">
        <f>G10/OD_IS!G4</f>
        <v>2.4467046759258978E-2</v>
      </c>
      <c r="H47" s="131">
        <f>H10/OD_IS!H4</f>
        <v>9.0024145849144643E-3</v>
      </c>
      <c r="I47" s="132">
        <f>I10/OD_IS!I4</f>
        <v>1.6734730672086723E-2</v>
      </c>
      <c r="J47" s="132">
        <f>J10/OD_IS!J4</f>
        <v>1.6734730672086723E-2</v>
      </c>
      <c r="K47" s="132">
        <f>K10/OD_IS!K4</f>
        <v>1.6734730672086723E-2</v>
      </c>
      <c r="L47" s="132">
        <f>L10/OD_IS!L4</f>
        <v>1.6734730672086723E-2</v>
      </c>
      <c r="M47" s="132">
        <f>M10/OD_IS!M4</f>
        <v>1.6734730672086723E-2</v>
      </c>
      <c r="N47" s="132">
        <f>N10/OD_IS!N4</f>
        <v>1.6734730672086723E-2</v>
      </c>
    </row>
    <row r="48" spans="1:74" ht="14.4">
      <c r="B48" s="65" t="s">
        <v>872</v>
      </c>
      <c r="C48" s="84" t="s">
        <v>677</v>
      </c>
      <c r="D48" s="129">
        <f>D22/OD_IS!D4</f>
        <v>0.17175569223433698</v>
      </c>
      <c r="E48" s="129">
        <f>E22/OD_IS!E4</f>
        <v>0.43930454664039392</v>
      </c>
      <c r="F48" s="129">
        <f>F22/OD_IS!F4</f>
        <v>0.33793800713796668</v>
      </c>
      <c r="G48" s="130">
        <f>G22/OD_IS!G4</f>
        <v>0.29045090745745983</v>
      </c>
      <c r="H48" s="131">
        <f>H22/OD_IS!H4</f>
        <v>0.10820902252413717</v>
      </c>
      <c r="I48" s="132">
        <f>I22/OD_IS!I4</f>
        <v>0.1993299649907985</v>
      </c>
      <c r="J48" s="132">
        <f>J22/OD_IS!J4</f>
        <v>0.1993299649907985</v>
      </c>
      <c r="K48" s="132">
        <f>K22/OD_IS!K4</f>
        <v>0.19932996499079852</v>
      </c>
      <c r="L48" s="132">
        <f>L22/OD_IS!L4</f>
        <v>0.1993299649907985</v>
      </c>
      <c r="M48" s="132">
        <f>M22/OD_IS!M4</f>
        <v>0.19932996499079852</v>
      </c>
      <c r="N48" s="132">
        <f>N22/OD_IS!N4</f>
        <v>0.19932996499079847</v>
      </c>
    </row>
    <row r="49" spans="2:14" ht="14.4">
      <c r="B49" s="65"/>
      <c r="C49" s="84"/>
      <c r="D49" s="133"/>
      <c r="E49" s="133"/>
      <c r="F49" s="133"/>
      <c r="G49" s="133"/>
      <c r="H49" s="116"/>
      <c r="I49" s="134"/>
      <c r="J49" s="134"/>
      <c r="K49" s="134"/>
      <c r="L49" s="134"/>
      <c r="M49" s="134"/>
      <c r="N49" s="134"/>
    </row>
    <row r="50" spans="2:14" ht="14.4">
      <c r="B50" s="65"/>
      <c r="C50" s="84"/>
      <c r="D50" s="133"/>
      <c r="E50" s="133"/>
      <c r="F50" s="133"/>
      <c r="G50" s="133"/>
      <c r="H50" s="116"/>
      <c r="I50" s="134"/>
      <c r="J50" s="134"/>
      <c r="K50" s="134"/>
      <c r="L50" s="134"/>
      <c r="M50" s="134"/>
      <c r="N50" s="134"/>
    </row>
    <row r="51" spans="2:14" ht="14.4">
      <c r="B51" s="65"/>
      <c r="C51" s="84"/>
      <c r="D51" s="133"/>
      <c r="E51" s="133"/>
      <c r="F51" s="133"/>
      <c r="G51" s="133"/>
      <c r="H51" s="116"/>
      <c r="I51" s="134"/>
      <c r="J51" s="134"/>
      <c r="K51" s="134"/>
      <c r="L51" s="134"/>
      <c r="M51" s="134"/>
      <c r="N51" s="134"/>
    </row>
    <row r="52" spans="2:14" ht="14.4">
      <c r="B52" s="65"/>
      <c r="C52" s="84"/>
      <c r="D52" s="133"/>
      <c r="E52" s="133"/>
      <c r="F52" s="133"/>
      <c r="G52" s="133"/>
      <c r="H52" s="116"/>
      <c r="I52" s="134"/>
      <c r="J52" s="134"/>
      <c r="K52" s="134"/>
      <c r="L52" s="134"/>
      <c r="M52" s="134"/>
      <c r="N52" s="134"/>
    </row>
    <row r="53" spans="2:14" ht="14.4">
      <c r="B53" s="65"/>
      <c r="C53" s="84"/>
      <c r="D53" s="133"/>
      <c r="E53" s="133"/>
      <c r="F53" s="133"/>
      <c r="G53" s="133"/>
      <c r="H53" s="116"/>
      <c r="I53" s="134"/>
      <c r="J53" s="134"/>
      <c r="K53" s="134"/>
      <c r="L53" s="134"/>
      <c r="M53" s="134"/>
      <c r="N53" s="134"/>
    </row>
    <row r="54" spans="2:14" ht="14.4">
      <c r="B54" s="65"/>
      <c r="C54" s="84"/>
      <c r="D54" s="133"/>
      <c r="E54" s="133"/>
      <c r="F54" s="133"/>
      <c r="G54" s="133"/>
      <c r="H54" s="116"/>
      <c r="I54" s="134"/>
      <c r="J54" s="134"/>
      <c r="K54" s="134"/>
      <c r="L54" s="134"/>
      <c r="M54" s="134"/>
      <c r="N54" s="134"/>
    </row>
    <row r="55" spans="2:14" ht="14.4">
      <c r="B55" s="65"/>
      <c r="C55" s="84"/>
      <c r="D55" s="133"/>
      <c r="E55" s="133"/>
      <c r="F55" s="133"/>
      <c r="G55" s="133"/>
      <c r="H55" s="116"/>
      <c r="I55" s="134"/>
      <c r="J55" s="134"/>
      <c r="K55" s="134"/>
      <c r="L55" s="134"/>
      <c r="M55" s="134"/>
      <c r="N55" s="134"/>
    </row>
    <row r="56" spans="2:14" ht="14.4">
      <c r="B56" s="65"/>
      <c r="C56" s="84"/>
      <c r="D56" s="133"/>
      <c r="E56" s="133"/>
      <c r="F56" s="133"/>
      <c r="G56" s="133"/>
      <c r="H56" s="116"/>
      <c r="I56" s="134"/>
      <c r="J56" s="134"/>
      <c r="K56" s="134"/>
      <c r="L56" s="134"/>
      <c r="M56" s="134"/>
      <c r="N56" s="134"/>
    </row>
    <row r="57" spans="2:14" ht="14.4">
      <c r="B57" s="65"/>
      <c r="C57" s="84"/>
      <c r="D57" s="133"/>
      <c r="E57" s="133"/>
      <c r="F57" s="133"/>
      <c r="G57" s="133"/>
      <c r="H57" s="116"/>
      <c r="I57" s="134"/>
      <c r="J57" s="134"/>
      <c r="K57" s="134"/>
      <c r="L57" s="134"/>
      <c r="M57" s="134"/>
      <c r="N57" s="134"/>
    </row>
    <row r="58" spans="2:14" ht="14.4">
      <c r="B58" s="65"/>
      <c r="C58" s="84"/>
      <c r="D58" s="133"/>
      <c r="E58" s="133"/>
      <c r="F58" s="133"/>
      <c r="G58" s="133"/>
      <c r="H58" s="116"/>
      <c r="I58" s="134"/>
      <c r="J58" s="134"/>
      <c r="K58" s="134"/>
      <c r="L58" s="134"/>
      <c r="M58" s="134"/>
      <c r="N58" s="134"/>
    </row>
    <row r="59" spans="2:14" ht="14.4">
      <c r="B59" s="65"/>
      <c r="C59" s="84"/>
      <c r="D59" s="133"/>
      <c r="E59" s="133"/>
      <c r="F59" s="133"/>
      <c r="G59" s="133"/>
      <c r="H59" s="116"/>
      <c r="I59" s="134"/>
      <c r="J59" s="134"/>
      <c r="K59" s="134"/>
      <c r="L59" s="134"/>
      <c r="M59" s="134"/>
      <c r="N59" s="134"/>
    </row>
    <row r="60" spans="2:14" ht="14.4">
      <c r="B60" s="65"/>
      <c r="C60" s="84"/>
      <c r="D60" s="133"/>
      <c r="E60" s="133"/>
      <c r="F60" s="133"/>
      <c r="G60" s="133"/>
      <c r="H60" s="116"/>
      <c r="I60" s="134"/>
      <c r="J60" s="134"/>
      <c r="K60" s="134"/>
      <c r="L60" s="134"/>
      <c r="M60" s="134"/>
      <c r="N60" s="134"/>
    </row>
    <row r="61" spans="2:14" ht="14.4">
      <c r="B61" s="65"/>
      <c r="C61" s="84"/>
      <c r="D61" s="133"/>
      <c r="E61" s="133"/>
      <c r="F61" s="133"/>
      <c r="G61" s="133"/>
      <c r="H61" s="116"/>
      <c r="I61" s="134"/>
      <c r="J61" s="134"/>
      <c r="K61" s="134"/>
      <c r="L61" s="134"/>
      <c r="M61" s="134"/>
      <c r="N61" s="134"/>
    </row>
    <row r="62" spans="2:14" ht="14.4">
      <c r="B62" s="65"/>
      <c r="C62" s="84"/>
      <c r="D62" s="133"/>
      <c r="E62" s="133"/>
      <c r="F62" s="133"/>
      <c r="G62" s="133"/>
      <c r="H62" s="116"/>
      <c r="I62" s="134"/>
      <c r="J62" s="134"/>
      <c r="K62" s="134"/>
      <c r="L62" s="134"/>
      <c r="M62" s="134"/>
      <c r="N62" s="134"/>
    </row>
    <row r="63" spans="2:14" ht="14.4">
      <c r="B63" s="65"/>
      <c r="C63" s="84"/>
      <c r="D63" s="133"/>
      <c r="E63" s="133"/>
      <c r="F63" s="133"/>
      <c r="G63" s="133"/>
      <c r="H63" s="116"/>
      <c r="I63" s="134"/>
      <c r="J63" s="134"/>
      <c r="K63" s="134"/>
      <c r="L63" s="134"/>
      <c r="M63" s="134"/>
      <c r="N63" s="134"/>
    </row>
    <row r="64" spans="2:14" ht="14.4">
      <c r="B64" s="65"/>
      <c r="C64" s="84"/>
      <c r="D64" s="133"/>
      <c r="E64" s="133"/>
      <c r="F64" s="133"/>
      <c r="G64" s="133"/>
      <c r="H64" s="116"/>
      <c r="I64" s="134"/>
      <c r="J64" s="134"/>
      <c r="K64" s="134"/>
      <c r="L64" s="134"/>
      <c r="M64" s="134"/>
      <c r="N64" s="134"/>
    </row>
    <row r="65" spans="2:14" ht="14.4">
      <c r="B65" s="65"/>
      <c r="C65" s="84"/>
      <c r="D65" s="133"/>
      <c r="E65" s="133"/>
      <c r="F65" s="133"/>
      <c r="G65" s="133"/>
      <c r="H65" s="116"/>
      <c r="I65" s="134"/>
      <c r="J65" s="134"/>
      <c r="K65" s="134"/>
      <c r="L65" s="134"/>
      <c r="M65" s="134"/>
      <c r="N65" s="134"/>
    </row>
    <row r="66" spans="2:14" ht="14.4">
      <c r="B66" s="65"/>
      <c r="C66" s="84"/>
      <c r="D66" s="133"/>
      <c r="E66" s="133"/>
      <c r="F66" s="133"/>
      <c r="G66" s="133"/>
      <c r="H66" s="116"/>
      <c r="I66" s="134"/>
      <c r="J66" s="134"/>
      <c r="K66" s="134"/>
      <c r="L66" s="134"/>
      <c r="M66" s="134"/>
      <c r="N66" s="134"/>
    </row>
    <row r="67" spans="2:14" ht="14.4">
      <c r="B67" s="65"/>
      <c r="C67" s="84"/>
      <c r="D67" s="133"/>
      <c r="E67" s="133"/>
      <c r="F67" s="133"/>
      <c r="G67" s="133"/>
      <c r="H67" s="116"/>
      <c r="I67" s="134"/>
      <c r="J67" s="134"/>
      <c r="K67" s="134"/>
      <c r="L67" s="134"/>
      <c r="M67" s="134"/>
      <c r="N67" s="134"/>
    </row>
    <row r="68" spans="2:14" ht="14.4">
      <c r="B68" s="65"/>
      <c r="C68" s="84"/>
      <c r="D68" s="133"/>
      <c r="E68" s="133"/>
      <c r="F68" s="133"/>
      <c r="G68" s="133"/>
      <c r="H68" s="116"/>
      <c r="I68" s="134"/>
      <c r="J68" s="134"/>
      <c r="K68" s="134"/>
      <c r="L68" s="134"/>
      <c r="M68" s="134"/>
      <c r="N68" s="134"/>
    </row>
    <row r="69" spans="2:14" ht="14.4">
      <c r="B69" s="65"/>
      <c r="C69" s="84"/>
      <c r="D69" s="133"/>
      <c r="E69" s="133"/>
      <c r="F69" s="133"/>
      <c r="G69" s="133"/>
      <c r="H69" s="116"/>
      <c r="I69" s="134"/>
      <c r="J69" s="134"/>
      <c r="K69" s="134"/>
      <c r="L69" s="134"/>
      <c r="M69" s="134"/>
      <c r="N69" s="134"/>
    </row>
    <row r="70" spans="2:14" ht="14.4">
      <c r="B70" s="65"/>
      <c r="C70" s="84"/>
      <c r="D70" s="133"/>
      <c r="E70" s="133"/>
      <c r="F70" s="133"/>
      <c r="G70" s="133"/>
      <c r="H70" s="116"/>
      <c r="I70" s="134"/>
      <c r="J70" s="134"/>
      <c r="K70" s="134"/>
      <c r="L70" s="134"/>
      <c r="M70" s="134"/>
      <c r="N70" s="134"/>
    </row>
    <row r="71" spans="2:14" ht="14.4">
      <c r="B71" s="65"/>
      <c r="C71" s="84"/>
      <c r="D71" s="133"/>
      <c r="E71" s="133"/>
      <c r="F71" s="133"/>
      <c r="G71" s="133"/>
      <c r="H71" s="116"/>
      <c r="I71" s="134"/>
      <c r="J71" s="134"/>
      <c r="K71" s="134"/>
      <c r="L71" s="134"/>
      <c r="M71" s="134"/>
      <c r="N71" s="134"/>
    </row>
    <row r="72" spans="2:14" ht="14.4">
      <c r="B72" s="65"/>
      <c r="C72" s="84"/>
      <c r="D72" s="133"/>
      <c r="E72" s="133"/>
      <c r="F72" s="133"/>
      <c r="G72" s="133"/>
      <c r="H72" s="116"/>
      <c r="I72" s="134"/>
      <c r="J72" s="134"/>
      <c r="K72" s="134"/>
      <c r="L72" s="134"/>
      <c r="M72" s="134"/>
      <c r="N72" s="134"/>
    </row>
    <row r="73" spans="2:14" ht="14.4">
      <c r="B73" s="65"/>
      <c r="C73" s="84"/>
      <c r="D73" s="133"/>
      <c r="E73" s="133"/>
      <c r="F73" s="133"/>
      <c r="G73" s="133"/>
      <c r="H73" s="116"/>
      <c r="I73" s="134"/>
      <c r="J73" s="134"/>
      <c r="K73" s="134"/>
      <c r="L73" s="134"/>
      <c r="M73" s="134"/>
      <c r="N73" s="134"/>
    </row>
    <row r="74" spans="2:14" ht="14.4">
      <c r="B74" s="65"/>
      <c r="C74" s="84"/>
      <c r="D74" s="133"/>
      <c r="E74" s="133"/>
      <c r="F74" s="133"/>
      <c r="G74" s="133"/>
      <c r="H74" s="116"/>
      <c r="I74" s="134"/>
      <c r="J74" s="134"/>
      <c r="K74" s="134"/>
      <c r="L74" s="134"/>
      <c r="M74" s="134"/>
      <c r="N74" s="134"/>
    </row>
    <row r="75" spans="2:14" ht="14.4">
      <c r="B75" s="65"/>
      <c r="C75" s="84"/>
      <c r="D75" s="133"/>
      <c r="E75" s="133"/>
      <c r="F75" s="133"/>
      <c r="G75" s="133"/>
      <c r="H75" s="116"/>
      <c r="I75" s="134"/>
      <c r="J75" s="134"/>
      <c r="K75" s="134"/>
      <c r="L75" s="134"/>
      <c r="M75" s="134"/>
      <c r="N75" s="134"/>
    </row>
    <row r="76" spans="2:14" ht="14.4">
      <c r="B76" s="65"/>
      <c r="C76" s="84"/>
      <c r="D76" s="133"/>
      <c r="E76" s="133"/>
      <c r="F76" s="133"/>
      <c r="G76" s="133"/>
      <c r="H76" s="116"/>
      <c r="I76" s="134"/>
      <c r="J76" s="134"/>
      <c r="K76" s="134"/>
      <c r="L76" s="134"/>
      <c r="M76" s="134"/>
      <c r="N76" s="134"/>
    </row>
    <row r="77" spans="2:14" ht="14.4">
      <c r="B77" s="65"/>
      <c r="C77" s="84"/>
      <c r="D77" s="133"/>
      <c r="E77" s="133"/>
      <c r="F77" s="133"/>
      <c r="G77" s="133"/>
      <c r="H77" s="116"/>
      <c r="I77" s="134"/>
      <c r="J77" s="134"/>
      <c r="K77" s="134"/>
      <c r="L77" s="134"/>
      <c r="M77" s="134"/>
      <c r="N77" s="134"/>
    </row>
    <row r="78" spans="2:14" ht="14.4">
      <c r="B78" s="65"/>
      <c r="C78" s="84"/>
      <c r="D78" s="133"/>
      <c r="E78" s="133"/>
      <c r="F78" s="133"/>
      <c r="G78" s="133"/>
      <c r="H78" s="116"/>
      <c r="I78" s="134"/>
      <c r="J78" s="134"/>
      <c r="K78" s="134"/>
      <c r="L78" s="134"/>
      <c r="M78" s="134"/>
      <c r="N78" s="134"/>
    </row>
    <row r="79" spans="2:14" ht="14.4">
      <c r="B79" s="65"/>
      <c r="C79" s="84"/>
      <c r="D79" s="133"/>
      <c r="E79" s="133"/>
      <c r="F79" s="133"/>
      <c r="G79" s="133"/>
      <c r="H79" s="116"/>
      <c r="I79" s="134"/>
      <c r="J79" s="134"/>
      <c r="K79" s="134"/>
      <c r="L79" s="134"/>
      <c r="M79" s="134"/>
      <c r="N79" s="134"/>
    </row>
    <row r="80" spans="2:14" ht="14.4">
      <c r="B80" s="65"/>
      <c r="C80" s="84"/>
      <c r="D80" s="133"/>
      <c r="E80" s="133"/>
      <c r="F80" s="133"/>
      <c r="G80" s="133"/>
      <c r="H80" s="116"/>
      <c r="I80" s="134"/>
      <c r="J80" s="134"/>
      <c r="K80" s="134"/>
      <c r="L80" s="134"/>
      <c r="M80" s="134"/>
      <c r="N80" s="134"/>
    </row>
    <row r="81" spans="2:14" ht="14.4">
      <c r="B81" s="65"/>
      <c r="C81" s="84"/>
      <c r="D81" s="133"/>
      <c r="E81" s="133"/>
      <c r="F81" s="133"/>
      <c r="G81" s="133"/>
      <c r="H81" s="116"/>
      <c r="I81" s="134"/>
      <c r="J81" s="134"/>
      <c r="K81" s="134"/>
      <c r="L81" s="134"/>
      <c r="M81" s="134"/>
      <c r="N81" s="134"/>
    </row>
    <row r="82" spans="2:14" ht="14.4">
      <c r="B82" s="65"/>
      <c r="C82" s="84"/>
      <c r="D82" s="133"/>
      <c r="E82" s="133"/>
      <c r="F82" s="133"/>
      <c r="G82" s="133"/>
      <c r="H82" s="116"/>
      <c r="I82" s="134"/>
      <c r="J82" s="134"/>
      <c r="K82" s="134"/>
      <c r="L82" s="134"/>
      <c r="M82" s="134"/>
      <c r="N82" s="134"/>
    </row>
    <row r="83" spans="2:14" ht="14.4">
      <c r="B83" s="65"/>
      <c r="C83" s="84"/>
      <c r="D83" s="133"/>
      <c r="E83" s="133"/>
      <c r="F83" s="133"/>
      <c r="G83" s="133"/>
      <c r="H83" s="116"/>
      <c r="I83" s="134"/>
      <c r="J83" s="134"/>
      <c r="K83" s="134"/>
      <c r="L83" s="134"/>
      <c r="M83" s="134"/>
      <c r="N83" s="134"/>
    </row>
    <row r="84" spans="2:14" ht="14.4">
      <c r="B84" s="65"/>
      <c r="C84" s="84"/>
      <c r="D84" s="133"/>
      <c r="E84" s="133"/>
      <c r="F84" s="133"/>
      <c r="G84" s="133"/>
      <c r="H84" s="116"/>
      <c r="I84" s="134"/>
      <c r="J84" s="134"/>
      <c r="K84" s="134"/>
      <c r="L84" s="134"/>
      <c r="M84" s="134"/>
      <c r="N84" s="134"/>
    </row>
    <row r="85" spans="2:14" ht="14.4">
      <c r="B85" s="65"/>
      <c r="C85" s="84"/>
      <c r="D85" s="133"/>
      <c r="E85" s="133"/>
      <c r="F85" s="133"/>
      <c r="G85" s="133"/>
      <c r="H85" s="116"/>
      <c r="I85" s="134"/>
      <c r="J85" s="134"/>
      <c r="K85" s="134"/>
      <c r="L85" s="134"/>
      <c r="M85" s="134"/>
      <c r="N85" s="134"/>
    </row>
    <row r="86" spans="2:14" ht="14.4">
      <c r="B86" s="65"/>
      <c r="C86" s="84"/>
      <c r="D86" s="133"/>
      <c r="E86" s="133"/>
      <c r="F86" s="133"/>
      <c r="G86" s="133"/>
      <c r="H86" s="116"/>
      <c r="I86" s="134"/>
      <c r="J86" s="134"/>
      <c r="K86" s="134"/>
      <c r="L86" s="134"/>
      <c r="M86" s="134"/>
      <c r="N86" s="134"/>
    </row>
    <row r="87" spans="2:14" ht="14.4">
      <c r="B87" s="65"/>
      <c r="C87" s="84"/>
      <c r="D87" s="133"/>
      <c r="E87" s="133"/>
      <c r="F87" s="133"/>
      <c r="G87" s="133"/>
      <c r="H87" s="116"/>
      <c r="I87" s="134"/>
      <c r="J87" s="134"/>
      <c r="K87" s="134"/>
      <c r="L87" s="134"/>
      <c r="M87" s="134"/>
      <c r="N87" s="134"/>
    </row>
    <row r="88" spans="2:14" ht="14.4">
      <c r="B88" s="65"/>
      <c r="C88" s="84"/>
      <c r="D88" s="133"/>
      <c r="E88" s="133"/>
      <c r="F88" s="133"/>
      <c r="G88" s="133"/>
      <c r="H88" s="116"/>
      <c r="I88" s="134"/>
      <c r="J88" s="134"/>
      <c r="K88" s="134"/>
      <c r="L88" s="134"/>
      <c r="M88" s="134"/>
      <c r="N88" s="134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89C9-A583-417D-9618-57B4E3ACF142}">
  <sheetPr>
    <tabColor rgb="FFFF0000"/>
  </sheetPr>
  <dimension ref="A1:Q119"/>
  <sheetViews>
    <sheetView zoomScaleNormal="100" workbookViewId="0">
      <pane xSplit="3" ySplit="3" topLeftCell="D4" activePane="bottomRight" state="frozen"/>
      <selection pane="topRight" activeCell="E35" sqref="E35"/>
      <selection pane="bottomLeft" activeCell="E35" sqref="E35"/>
      <selection pane="bottomRight" activeCell="B4" sqref="B4:N4"/>
    </sheetView>
  </sheetViews>
  <sheetFormatPr defaultRowHeight="22.5" customHeight="1"/>
  <cols>
    <col min="2" max="2" width="49.21875" bestFit="1" customWidth="1"/>
    <col min="3" max="3" width="6.6640625" bestFit="1" customWidth="1"/>
    <col min="4" max="4" width="9.77734375" bestFit="1" customWidth="1"/>
    <col min="5" max="6" width="8.33203125" bestFit="1" customWidth="1"/>
    <col min="7" max="7" width="8.44140625" bestFit="1" customWidth="1"/>
    <col min="8" max="14" width="9.77734375" bestFit="1" customWidth="1"/>
  </cols>
  <sheetData>
    <row r="1" spans="2:17" s="7" customFormat="1" ht="14.4">
      <c r="B1" s="65"/>
      <c r="C1" s="66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2:17" s="7" customFormat="1" ht="14.4">
      <c r="B2" s="69"/>
      <c r="C2" s="70"/>
      <c r="D2" s="71"/>
      <c r="E2" s="71"/>
      <c r="F2" s="71"/>
      <c r="G2" s="259">
        <v>45291</v>
      </c>
      <c r="H2" s="259">
        <f>DATE(YEAR(G2),MONTH(G2)+13,0)</f>
        <v>45657</v>
      </c>
      <c r="I2" s="259">
        <f t="shared" ref="I2:N2" si="0">DATE(YEAR(H2),MONTH(H2)+13,0)</f>
        <v>46022</v>
      </c>
      <c r="J2" s="259">
        <f t="shared" si="0"/>
        <v>46387</v>
      </c>
      <c r="K2" s="259">
        <f t="shared" si="0"/>
        <v>46752</v>
      </c>
      <c r="L2" s="259">
        <f t="shared" si="0"/>
        <v>47118</v>
      </c>
      <c r="M2" s="259">
        <f t="shared" si="0"/>
        <v>47483</v>
      </c>
      <c r="N2" s="259">
        <f t="shared" si="0"/>
        <v>47848</v>
      </c>
    </row>
    <row r="3" spans="2:17" s="7" customFormat="1" ht="15" thickBot="1">
      <c r="B3" s="135" t="s">
        <v>716</v>
      </c>
      <c r="C3" s="136" t="s">
        <v>671</v>
      </c>
      <c r="D3" s="137">
        <f>'IP_BS Raw'!E2</f>
        <v>2021</v>
      </c>
      <c r="E3" s="137">
        <f>D3+1</f>
        <v>2022</v>
      </c>
      <c r="F3" s="137">
        <f t="shared" ref="F3:N3" si="1">E3+1</f>
        <v>2023</v>
      </c>
      <c r="G3" s="137">
        <f t="shared" si="1"/>
        <v>2024</v>
      </c>
      <c r="H3" s="137">
        <f>G3+1</f>
        <v>2025</v>
      </c>
      <c r="I3" s="137">
        <f t="shared" si="1"/>
        <v>2026</v>
      </c>
      <c r="J3" s="137">
        <f t="shared" si="1"/>
        <v>2027</v>
      </c>
      <c r="K3" s="137">
        <f t="shared" si="1"/>
        <v>2028</v>
      </c>
      <c r="L3" s="137">
        <f t="shared" si="1"/>
        <v>2029</v>
      </c>
      <c r="M3" s="137">
        <f t="shared" si="1"/>
        <v>2030</v>
      </c>
      <c r="N3" s="137">
        <f t="shared" si="1"/>
        <v>2031</v>
      </c>
    </row>
    <row r="4" spans="2:17" s="51" customFormat="1" ht="14.4">
      <c r="B4" s="138" t="s">
        <v>664</v>
      </c>
      <c r="C4" s="139" t="s">
        <v>983</v>
      </c>
      <c r="D4" s="140">
        <f>'IP_IS Raw'!E8</f>
        <v>1079507793378</v>
      </c>
      <c r="E4" s="140">
        <f>'IP_IS Raw'!F8</f>
        <v>314124306314</v>
      </c>
      <c r="F4" s="140">
        <f>'IP_IS Raw'!G8</f>
        <v>411666784900</v>
      </c>
      <c r="G4" s="141">
        <f>'IP_IS Raw'!H8</f>
        <v>1026094868172</v>
      </c>
      <c r="H4" s="141">
        <f>'IP_IS Raw'!I8</f>
        <v>1639063078002</v>
      </c>
      <c r="I4" s="142">
        <f>PD_Operation!I6</f>
        <v>2130782001402.6001</v>
      </c>
      <c r="J4" s="142">
        <f>PD_Operation!J6</f>
        <v>2599554041711.1719</v>
      </c>
      <c r="K4" s="142">
        <f>PD_Operation!K6</f>
        <v>2989487147967.8477</v>
      </c>
      <c r="L4" s="142">
        <f>PD_Operation!L6</f>
        <v>3318330734244.311</v>
      </c>
      <c r="M4" s="142">
        <f>PD_Operation!M6</f>
        <v>3583797192983.856</v>
      </c>
      <c r="N4" s="142">
        <f>PD_Operation!N6</f>
        <v>3762987052633.0488</v>
      </c>
    </row>
    <row r="5" spans="2:17" ht="14.4">
      <c r="B5" s="65" t="s">
        <v>665</v>
      </c>
      <c r="C5" s="84" t="s">
        <v>983</v>
      </c>
      <c r="D5" s="85">
        <f>'IP_IS Raw'!E9</f>
        <v>-1045382703416</v>
      </c>
      <c r="E5" s="85">
        <f>'IP_IS Raw'!F9</f>
        <v>-209645620562</v>
      </c>
      <c r="F5" s="85">
        <f>'IP_IS Raw'!G9</f>
        <v>-296480952992</v>
      </c>
      <c r="G5" s="86">
        <f>'IP_IS Raw'!H9</f>
        <v>-855243703997</v>
      </c>
      <c r="H5" s="86">
        <f>'IP_IS Raw'!I9</f>
        <v>-1424028369399</v>
      </c>
      <c r="I5" s="143">
        <f>-PD_Operation!I8*I4</f>
        <v>-1853780341220.262</v>
      </c>
      <c r="J5" s="143">
        <f>-PD_Operation!J8*J4</f>
        <v>-2235616475871.6079</v>
      </c>
      <c r="K5" s="143">
        <f>-PD_Operation!K8*K4</f>
        <v>-2511169204292.9917</v>
      </c>
      <c r="L5" s="143">
        <f>-PD_Operation!L8*L4</f>
        <v>-2721031202080.335</v>
      </c>
      <c r="M5" s="143">
        <f>-PD_Operation!M8*M4</f>
        <v>-2902875726316.9233</v>
      </c>
      <c r="N5" s="143">
        <f>-PD_Operation!N8*N4</f>
        <v>-3048019512632.7695</v>
      </c>
    </row>
    <row r="6" spans="2:17" s="51" customFormat="1" ht="14.4">
      <c r="B6" s="89" t="s">
        <v>273</v>
      </c>
      <c r="C6" s="90" t="s">
        <v>983</v>
      </c>
      <c r="D6" s="91">
        <f t="shared" ref="D6:G6" si="2">D4+D5</f>
        <v>34125089962</v>
      </c>
      <c r="E6" s="91">
        <f t="shared" si="2"/>
        <v>104478685752</v>
      </c>
      <c r="F6" s="91">
        <f t="shared" si="2"/>
        <v>115185831908</v>
      </c>
      <c r="G6" s="92">
        <f t="shared" si="2"/>
        <v>170851164175</v>
      </c>
      <c r="H6" s="92">
        <f>H4+H5</f>
        <v>215034708603</v>
      </c>
      <c r="I6" s="144">
        <f t="shared" ref="I6:N6" si="3">I4+I5</f>
        <v>277001660182.33813</v>
      </c>
      <c r="J6" s="144">
        <f t="shared" si="3"/>
        <v>363937565839.56396</v>
      </c>
      <c r="K6" s="144">
        <f t="shared" si="3"/>
        <v>478317943674.85596</v>
      </c>
      <c r="L6" s="144">
        <f t="shared" si="3"/>
        <v>597299532163.97607</v>
      </c>
      <c r="M6" s="144">
        <f t="shared" si="3"/>
        <v>680921466666.93262</v>
      </c>
      <c r="N6" s="144">
        <f t="shared" si="3"/>
        <v>714967540000.2793</v>
      </c>
    </row>
    <row r="7" spans="2:17" ht="14.4">
      <c r="B7" s="65" t="s">
        <v>690</v>
      </c>
      <c r="C7" s="84" t="s">
        <v>983</v>
      </c>
      <c r="D7" s="85">
        <f>'IP_IS Raw'!E15</f>
        <v>-86766850424</v>
      </c>
      <c r="E7" s="85">
        <f>'IP_IS Raw'!F15</f>
        <v>-20658752305</v>
      </c>
      <c r="F7" s="85">
        <f>'IP_IS Raw'!G15</f>
        <v>-14260496293</v>
      </c>
      <c r="G7" s="86">
        <f>'IP_IS Raw'!H15</f>
        <v>-26239808550</v>
      </c>
      <c r="H7" s="86">
        <f>'IP_IS Raw'!I15</f>
        <v>-39335239608</v>
      </c>
      <c r="I7" s="143">
        <f>-PD_Operation!I9*I4</f>
        <v>-53269550035.065002</v>
      </c>
      <c r="J7" s="143">
        <f>-PD_Operation!J9*J4</f>
        <v>-64988851042.779297</v>
      </c>
      <c r="K7" s="143">
        <f>-PD_Operation!K9*K4</f>
        <v>-74737178699.196198</v>
      </c>
      <c r="L7" s="143">
        <f>-PD_Operation!L9*L4</f>
        <v>-82958268356.107788</v>
      </c>
      <c r="M7" s="143">
        <f>-PD_Operation!M9*M4</f>
        <v>-89594929824.596405</v>
      </c>
      <c r="N7" s="143">
        <f>-PD_Operation!N9*N4</f>
        <v>-94074676315.826233</v>
      </c>
    </row>
    <row r="8" spans="2:17" ht="14.4">
      <c r="B8" s="65" t="s">
        <v>691</v>
      </c>
      <c r="C8" s="84" t="s">
        <v>983</v>
      </c>
      <c r="D8" s="85">
        <f>'IP_IS Raw'!E16</f>
        <v>-211115902487</v>
      </c>
      <c r="E8" s="85">
        <f>'IP_IS Raw'!F16</f>
        <v>-93384172422</v>
      </c>
      <c r="F8" s="85">
        <f>'IP_IS Raw'!G16</f>
        <v>-66900478155</v>
      </c>
      <c r="G8" s="86">
        <f>'IP_IS Raw'!H16</f>
        <v>-151633232794</v>
      </c>
      <c r="H8" s="86">
        <f>'IP_IS Raw'!I16</f>
        <v>-167762629718</v>
      </c>
      <c r="I8" s="143">
        <f>-PD_Operation!I10*I4</f>
        <v>-213078200140.26001</v>
      </c>
      <c r="J8" s="143">
        <f>-PD_Operation!J10*J4</f>
        <v>-254756296087.69485</v>
      </c>
      <c r="K8" s="143">
        <f>-PD_Operation!K10*K4</f>
        <v>-284001279056.94556</v>
      </c>
      <c r="L8" s="143">
        <f>-PD_Operation!L10*L4</f>
        <v>-308604758284.72095</v>
      </c>
      <c r="M8" s="143">
        <f>-PD_Operation!M10*M4</f>
        <v>-322541747368.547</v>
      </c>
      <c r="N8" s="143">
        <f>-PD_Operation!N10*N4</f>
        <v>-338668834736.97437</v>
      </c>
    </row>
    <row r="9" spans="2:17" s="51" customFormat="1" ht="14.4">
      <c r="B9" s="89" t="s">
        <v>751</v>
      </c>
      <c r="C9" s="90" t="s">
        <v>983</v>
      </c>
      <c r="D9" s="91">
        <f t="shared" ref="D9:G9" si="4">D6+D7+D8</f>
        <v>-263757662949</v>
      </c>
      <c r="E9" s="91">
        <f t="shared" si="4"/>
        <v>-9564238975</v>
      </c>
      <c r="F9" s="91">
        <f t="shared" si="4"/>
        <v>34024857460</v>
      </c>
      <c r="G9" s="92">
        <f t="shared" si="4"/>
        <v>-7021877169</v>
      </c>
      <c r="H9" s="92">
        <f>H6+H7+H8</f>
        <v>7936839277</v>
      </c>
      <c r="I9" s="144">
        <f t="shared" ref="I9:N9" si="5">I6+I7+I8</f>
        <v>10653910007.013123</v>
      </c>
      <c r="J9" s="144">
        <f t="shared" si="5"/>
        <v>44192418709.089813</v>
      </c>
      <c r="K9" s="144">
        <f t="shared" si="5"/>
        <v>119579485918.71423</v>
      </c>
      <c r="L9" s="144">
        <f t="shared" si="5"/>
        <v>205736505523.14734</v>
      </c>
      <c r="M9" s="144">
        <f t="shared" si="5"/>
        <v>268784789473.78918</v>
      </c>
      <c r="N9" s="144">
        <f t="shared" si="5"/>
        <v>282224028947.47876</v>
      </c>
    </row>
    <row r="10" spans="2:17" ht="14.4">
      <c r="B10" s="65" t="s">
        <v>275</v>
      </c>
      <c r="C10" s="84" t="s">
        <v>983</v>
      </c>
      <c r="D10" s="85">
        <f>'IP_IS Raw'!E11</f>
        <v>423849348595</v>
      </c>
      <c r="E10" s="85">
        <f>'IP_IS Raw'!F11</f>
        <v>47340388199</v>
      </c>
      <c r="F10" s="85">
        <f>'IP_IS Raw'!G11</f>
        <v>43586401680</v>
      </c>
      <c r="G10" s="86">
        <f>'IP_IS Raw'!H11</f>
        <v>191906506913</v>
      </c>
      <c r="H10" s="86">
        <f>'IP_IS Raw'!I11</f>
        <v>120349183176</v>
      </c>
      <c r="I10" s="143">
        <f>PD_Operation!I12*I4</f>
        <v>127846920084.15601</v>
      </c>
      <c r="J10" s="143">
        <f>PD_Operation!J12*J4</f>
        <v>129977702085.55859</v>
      </c>
      <c r="K10" s="143">
        <f>PD_Operation!K12*K4</f>
        <v>119579485918.71391</v>
      </c>
      <c r="L10" s="143">
        <f>PD_Operation!L12*L4</f>
        <v>116141575698.5509</v>
      </c>
      <c r="M10" s="143">
        <f>PD_Operation!M12*M4</f>
        <v>125432901754.43497</v>
      </c>
      <c r="N10" s="143">
        <f>PD_Operation!N12*N4</f>
        <v>131704546842.15672</v>
      </c>
    </row>
    <row r="11" spans="2:17" ht="14.4">
      <c r="B11" s="65" t="s">
        <v>277</v>
      </c>
      <c r="C11" s="84" t="s">
        <v>983</v>
      </c>
      <c r="D11" s="85">
        <f>'IP_IS Raw'!E12</f>
        <v>-28037984463</v>
      </c>
      <c r="E11" s="85">
        <f>'IP_IS Raw'!F12</f>
        <v>-9021747176</v>
      </c>
      <c r="F11" s="85">
        <f>'IP_IS Raw'!G12</f>
        <v>-23482415579</v>
      </c>
      <c r="G11" s="86">
        <f>'IP_IS Raw'!H12</f>
        <v>-51108323960</v>
      </c>
      <c r="H11" s="86">
        <f>'IP_IS Raw'!I12</f>
        <v>-27197709414</v>
      </c>
      <c r="I11" s="143">
        <f>-OD_Valuation!$C$10*(PD_Operation!I24+PD_Operation!I25)</f>
        <v>-37525186546.980003</v>
      </c>
      <c r="J11" s="143">
        <f>-OD_Valuation!$C$10*(PD_Operation!J24+PD_Operation!J25)</f>
        <v>-37525186546.980003</v>
      </c>
      <c r="K11" s="143">
        <f>-OD_Valuation!$C$10*(PD_Operation!K24+PD_Operation!K25)</f>
        <v>-37525186546.980003</v>
      </c>
      <c r="L11" s="143">
        <f>-OD_Valuation!$C$10*(PD_Operation!L24+PD_Operation!L25)</f>
        <v>-37525186546.980003</v>
      </c>
      <c r="M11" s="143">
        <f>-OD_Valuation!$C$10*(PD_Operation!M24+PD_Operation!M25)</f>
        <v>-37525186546.980003</v>
      </c>
      <c r="N11" s="143">
        <f>-OD_Valuation!$C$10*(PD_Operation!N24+PD_Operation!N25)</f>
        <v>-37525186546.980003</v>
      </c>
      <c r="Q11" s="58"/>
    </row>
    <row r="12" spans="2:17" ht="14.4">
      <c r="B12" s="95" t="s">
        <v>873</v>
      </c>
      <c r="C12" s="84" t="s">
        <v>983</v>
      </c>
      <c r="D12" s="97">
        <f>'IP_IS Raw'!E13</f>
        <v>-21801000846</v>
      </c>
      <c r="E12" s="97">
        <f>'IP_IS Raw'!F13</f>
        <v>-6906877175</v>
      </c>
      <c r="F12" s="97">
        <f>'IP_IS Raw'!G13</f>
        <v>-21505000199</v>
      </c>
      <c r="G12" s="98">
        <f>'IP_IS Raw'!H13</f>
        <v>-28208427529</v>
      </c>
      <c r="H12" s="98">
        <f>'IP_IS Raw'!I13</f>
        <v>-25900554619</v>
      </c>
      <c r="I12" s="145">
        <f t="shared" ref="I12:N12" si="6">I11</f>
        <v>-37525186546.980003</v>
      </c>
      <c r="J12" s="145">
        <f t="shared" si="6"/>
        <v>-37525186546.980003</v>
      </c>
      <c r="K12" s="145">
        <f t="shared" si="6"/>
        <v>-37525186546.980003</v>
      </c>
      <c r="L12" s="145">
        <f t="shared" si="6"/>
        <v>-37525186546.980003</v>
      </c>
      <c r="M12" s="145">
        <f t="shared" si="6"/>
        <v>-37525186546.980003</v>
      </c>
      <c r="N12" s="145">
        <f t="shared" si="6"/>
        <v>-37525186546.980003</v>
      </c>
    </row>
    <row r="13" spans="2:17" ht="14.4">
      <c r="B13" s="65" t="s">
        <v>280</v>
      </c>
      <c r="C13" s="84" t="s">
        <v>983</v>
      </c>
      <c r="D13" s="85">
        <f>'IP_IS Raw'!E14</f>
        <v>436847500</v>
      </c>
      <c r="E13" s="85">
        <f>'IP_IS Raw'!F14</f>
        <v>505897455</v>
      </c>
      <c r="F13" s="85">
        <f>'IP_IS Raw'!G14</f>
        <v>-4853955053</v>
      </c>
      <c r="G13" s="86">
        <f>'IP_IS Raw'!H14</f>
        <v>-15223546244</v>
      </c>
      <c r="H13" s="86">
        <f>'IP_IS Raw'!I14</f>
        <v>-1456928964</v>
      </c>
      <c r="I13" s="143">
        <v>0</v>
      </c>
      <c r="J13" s="143">
        <v>0</v>
      </c>
      <c r="K13" s="143">
        <v>0</v>
      </c>
      <c r="L13" s="143">
        <v>0</v>
      </c>
      <c r="M13" s="143">
        <v>0</v>
      </c>
      <c r="N13" s="143">
        <v>0</v>
      </c>
    </row>
    <row r="14" spans="2:17" ht="14.4">
      <c r="B14" s="95" t="s">
        <v>288</v>
      </c>
      <c r="C14" s="84" t="s">
        <v>983</v>
      </c>
      <c r="D14" s="97">
        <f>'IP_IS Raw'!E18</f>
        <v>-34173832376</v>
      </c>
      <c r="E14" s="97">
        <f>'IP_IS Raw'!F18</f>
        <v>-345291142</v>
      </c>
      <c r="F14" s="97">
        <f>'IP_IS Raw'!G18</f>
        <v>-20350770574</v>
      </c>
      <c r="G14" s="98">
        <v>0</v>
      </c>
      <c r="H14" s="98">
        <v>0</v>
      </c>
      <c r="I14" s="145">
        <v>0</v>
      </c>
      <c r="J14" s="145">
        <v>0</v>
      </c>
      <c r="K14" s="145">
        <v>0</v>
      </c>
      <c r="L14" s="145">
        <v>0</v>
      </c>
      <c r="M14" s="145">
        <v>0</v>
      </c>
      <c r="N14" s="145">
        <v>0</v>
      </c>
    </row>
    <row r="15" spans="2:17" ht="14.4">
      <c r="B15" s="65"/>
      <c r="C15" s="84"/>
      <c r="D15" s="85"/>
      <c r="E15" s="85"/>
      <c r="F15" s="85"/>
      <c r="G15" s="86"/>
      <c r="H15" s="86"/>
      <c r="I15" s="143"/>
      <c r="J15" s="143"/>
      <c r="K15" s="143"/>
      <c r="L15" s="143"/>
      <c r="M15" s="143"/>
      <c r="N15" s="143"/>
    </row>
    <row r="16" spans="2:17" s="51" customFormat="1" ht="14.4">
      <c r="B16" s="89" t="s">
        <v>874</v>
      </c>
      <c r="C16" s="90" t="s">
        <v>983</v>
      </c>
      <c r="D16" s="91">
        <f t="shared" ref="D16:F16" si="7">D9+D10+D13+D14+D11</f>
        <v>98316716307</v>
      </c>
      <c r="E16" s="91">
        <f t="shared" si="7"/>
        <v>28915008361</v>
      </c>
      <c r="F16" s="91">
        <f t="shared" si="7"/>
        <v>28924117934</v>
      </c>
      <c r="G16" s="92">
        <f>G9+G10+G13+G14+G11</f>
        <v>118552759540</v>
      </c>
      <c r="H16" s="92">
        <f>H9+H10+H11+H13+H14</f>
        <v>99631384075</v>
      </c>
      <c r="I16" s="144">
        <f t="shared" ref="I16:N16" si="8">I9+I10+I11+I13+I14</f>
        <v>100975643544.18912</v>
      </c>
      <c r="J16" s="144">
        <f t="shared" si="8"/>
        <v>136644934247.6684</v>
      </c>
      <c r="K16" s="144">
        <f t="shared" si="8"/>
        <v>201633785290.44815</v>
      </c>
      <c r="L16" s="144">
        <f t="shared" si="8"/>
        <v>284352894674.71826</v>
      </c>
      <c r="M16" s="144">
        <f t="shared" si="8"/>
        <v>356692504681.24414</v>
      </c>
      <c r="N16" s="144">
        <f t="shared" si="8"/>
        <v>376403389242.65552</v>
      </c>
    </row>
    <row r="17" spans="1:16" ht="14.4">
      <c r="B17" s="78" t="s">
        <v>875</v>
      </c>
      <c r="C17" s="79" t="s">
        <v>983</v>
      </c>
      <c r="D17" s="80">
        <f>D16-D12+OD_CF!D6</f>
        <v>320552074419</v>
      </c>
      <c r="E17" s="80">
        <f>E16-E12+OD_CF!E6</f>
        <v>237348407592</v>
      </c>
      <c r="F17" s="80">
        <f>F16-F12+OD_CF!F6</f>
        <v>243796643578</v>
      </c>
      <c r="G17" s="81">
        <f>G16-G12+OD_CF!G6</f>
        <v>400991615962</v>
      </c>
      <c r="H17" s="81">
        <f>H16-H12+OD_CF!H6</f>
        <v>125531938694</v>
      </c>
      <c r="I17" s="146">
        <f>I16-I12+OD_CF!I6</f>
        <v>388500830091.16913</v>
      </c>
      <c r="J17" s="146">
        <f>J16-J12+OD_CF!J6</f>
        <v>436670120794.64844</v>
      </c>
      <c r="K17" s="146">
        <f>K16-K12+OD_CF!K6</f>
        <v>514783971837.42816</v>
      </c>
      <c r="L17" s="146">
        <f>L16-L12+OD_CF!L6</f>
        <v>611284331221.69824</v>
      </c>
      <c r="M17" s="146">
        <f>M16-M12+OD_CF!M6</f>
        <v>698094253728.22412</v>
      </c>
      <c r="N17" s="146">
        <f>N16-N12+OD_CF!N6</f>
        <v>732998966414.6355</v>
      </c>
    </row>
    <row r="18" spans="1:16" ht="14.4">
      <c r="B18" s="65"/>
      <c r="C18" s="84"/>
      <c r="D18" s="85"/>
      <c r="E18" s="85"/>
      <c r="F18" s="85"/>
      <c r="G18" s="86"/>
      <c r="H18" s="86"/>
      <c r="I18" s="143"/>
      <c r="J18" s="143"/>
      <c r="K18" s="143"/>
      <c r="L18" s="143"/>
      <c r="M18" s="143"/>
      <c r="N18" s="143"/>
    </row>
    <row r="19" spans="1:16" ht="14.4">
      <c r="B19" s="65" t="s">
        <v>876</v>
      </c>
      <c r="C19" s="84" t="s">
        <v>983</v>
      </c>
      <c r="D19" s="85">
        <f>'IP_IS Raw'!E23</f>
        <v>-68326484945</v>
      </c>
      <c r="E19" s="85">
        <f>'IP_IS Raw'!F23</f>
        <v>-4024148047</v>
      </c>
      <c r="F19" s="85">
        <f>'IP_IS Raw'!G23</f>
        <v>-2405158607</v>
      </c>
      <c r="G19" s="86">
        <f>'IP_IS Raw'!H23</f>
        <v>11951746732</v>
      </c>
      <c r="H19" s="86">
        <f>'IP_IS Raw'!I23</f>
        <v>-17278295298</v>
      </c>
      <c r="I19" s="143">
        <f>-MAX(0,I16)*PD_Operation!I13</f>
        <v>-20195128708.837826</v>
      </c>
      <c r="J19" s="143">
        <f>-MAX(0,J16)*PD_Operation!J13</f>
        <v>-27328986849.53368</v>
      </c>
      <c r="K19" s="143">
        <f>-MAX(0,K16)*PD_Operation!K13</f>
        <v>-40326757058.08963</v>
      </c>
      <c r="L19" s="143">
        <f>-MAX(0,L16)*PD_Operation!L13</f>
        <v>-56870578934.943657</v>
      </c>
      <c r="M19" s="143">
        <f>-MAX(0,M16)*PD_Operation!M13</f>
        <v>-71338500936.248825</v>
      </c>
      <c r="N19" s="143">
        <f>-MAX(0,N16)*PD_Operation!N13</f>
        <v>-75280677848.531113</v>
      </c>
    </row>
    <row r="20" spans="1:16" ht="14.4">
      <c r="B20" s="65" t="s">
        <v>877</v>
      </c>
      <c r="C20" s="84" t="s">
        <v>878</v>
      </c>
      <c r="D20" s="147">
        <v>0.2</v>
      </c>
      <c r="E20" s="147">
        <v>0.2</v>
      </c>
      <c r="F20" s="147">
        <v>0.2</v>
      </c>
      <c r="G20" s="148">
        <v>0.2</v>
      </c>
      <c r="H20" s="148">
        <f>PD_Operation!H13</f>
        <v>0.17342221488154108</v>
      </c>
      <c r="I20" s="149">
        <f>PD_Operation!I13</f>
        <v>0.2</v>
      </c>
      <c r="J20" s="149">
        <f>PD_Operation!J13</f>
        <v>0.2</v>
      </c>
      <c r="K20" s="149">
        <f>PD_Operation!K13</f>
        <v>0.2</v>
      </c>
      <c r="L20" s="149">
        <f>PD_Operation!L13</f>
        <v>0.2</v>
      </c>
      <c r="M20" s="149">
        <f>PD_Operation!M13</f>
        <v>0.2</v>
      </c>
      <c r="N20" s="149">
        <f>PD_Operation!N13</f>
        <v>0.2</v>
      </c>
    </row>
    <row r="21" spans="1:16" s="4" customFormat="1" ht="14.4">
      <c r="B21" s="89" t="s">
        <v>879</v>
      </c>
      <c r="C21" s="90" t="s">
        <v>983</v>
      </c>
      <c r="D21" s="91">
        <f t="shared" ref="D21:F21" si="9">D16+D19</f>
        <v>29990231362</v>
      </c>
      <c r="E21" s="91">
        <f t="shared" si="9"/>
        <v>24890860314</v>
      </c>
      <c r="F21" s="91">
        <f t="shared" si="9"/>
        <v>26518959327</v>
      </c>
      <c r="G21" s="92">
        <f>G16+G19</f>
        <v>130504506272</v>
      </c>
      <c r="H21" s="92">
        <f>H16+H19</f>
        <v>82353088777</v>
      </c>
      <c r="I21" s="144">
        <f t="shared" ref="I21:N21" si="10">I16+I19</f>
        <v>80780514835.351288</v>
      </c>
      <c r="J21" s="144">
        <f t="shared" si="10"/>
        <v>109315947398.13472</v>
      </c>
      <c r="K21" s="144">
        <f t="shared" si="10"/>
        <v>161307028232.35852</v>
      </c>
      <c r="L21" s="144">
        <f t="shared" si="10"/>
        <v>227482315739.7746</v>
      </c>
      <c r="M21" s="144">
        <f t="shared" si="10"/>
        <v>285354003744.9953</v>
      </c>
      <c r="N21" s="144">
        <f t="shared" si="10"/>
        <v>301122711394.12439</v>
      </c>
    </row>
    <row r="22" spans="1:16" s="9" customFormat="1" ht="15" thickBot="1">
      <c r="A22" s="7"/>
      <c r="B22" s="150"/>
      <c r="C22" s="151"/>
      <c r="D22" s="152"/>
      <c r="E22" s="152"/>
      <c r="F22" s="152"/>
      <c r="G22" s="153"/>
      <c r="H22" s="153"/>
      <c r="I22" s="154"/>
      <c r="J22" s="154"/>
      <c r="K22" s="154"/>
      <c r="L22" s="154"/>
      <c r="M22" s="154"/>
      <c r="N22" s="154"/>
    </row>
    <row r="23" spans="1:16" s="9" customFormat="1" ht="15" thickTop="1">
      <c r="A23" s="7"/>
      <c r="B23" s="107"/>
      <c r="C23" s="108"/>
      <c r="D23" s="109"/>
      <c r="E23" s="109"/>
      <c r="F23" s="109"/>
      <c r="G23" s="110"/>
      <c r="H23" s="110"/>
      <c r="I23" s="109"/>
      <c r="J23" s="109"/>
      <c r="K23" s="109"/>
      <c r="L23" s="109"/>
      <c r="M23" s="109"/>
      <c r="N23" s="109"/>
    </row>
    <row r="24" spans="1:16" ht="14.4">
      <c r="B24" s="65" t="s">
        <v>880</v>
      </c>
      <c r="C24" s="84" t="s">
        <v>983</v>
      </c>
      <c r="D24" s="85">
        <f t="shared" ref="D24:G24" si="11">D25+D27</f>
        <v>11231811523</v>
      </c>
      <c r="E24" s="85">
        <f t="shared" si="11"/>
        <v>27353187905</v>
      </c>
      <c r="F24" s="85">
        <f t="shared" si="11"/>
        <v>28617412106</v>
      </c>
      <c r="G24" s="86">
        <f t="shared" si="11"/>
        <v>30826499682</v>
      </c>
      <c r="H24" s="86">
        <f>H25+H27</f>
        <v>0</v>
      </c>
      <c r="I24" s="143"/>
      <c r="J24" s="143"/>
      <c r="K24" s="143"/>
      <c r="L24" s="143"/>
      <c r="M24" s="143"/>
      <c r="N24" s="143"/>
    </row>
    <row r="25" spans="1:16" ht="14.4">
      <c r="B25" s="67" t="s">
        <v>881</v>
      </c>
      <c r="C25" s="84" t="s">
        <v>983</v>
      </c>
      <c r="D25" s="85">
        <f>'IP_Notes Raw'!E139</f>
        <v>11231811523</v>
      </c>
      <c r="E25" s="85">
        <f>'IP_Notes Raw'!F139</f>
        <v>27353187905</v>
      </c>
      <c r="F25" s="85">
        <f>'IP_Notes Raw'!G139</f>
        <v>28617412106</v>
      </c>
      <c r="G25" s="86">
        <f>'IP_Notes Raw'!H139</f>
        <v>30826499682</v>
      </c>
      <c r="H25" s="86">
        <f>'IP_Notes Raw'!I139</f>
        <v>0</v>
      </c>
      <c r="I25" s="143"/>
      <c r="J25" s="143"/>
      <c r="K25" s="143"/>
      <c r="L25" s="143"/>
      <c r="M25" s="143"/>
      <c r="N25" s="143"/>
    </row>
    <row r="26" spans="1:16" ht="14.4">
      <c r="B26" s="65" t="s">
        <v>882</v>
      </c>
      <c r="C26" s="84" t="s">
        <v>677</v>
      </c>
      <c r="D26" s="147">
        <f>D25/(OD_BS!D6+OD_BS!D7)</f>
        <v>1.2180388677680059</v>
      </c>
      <c r="E26" s="147">
        <f>E25/(OD_BS!E6+OD_BS!E7)</f>
        <v>1.031300139767555</v>
      </c>
      <c r="F26" s="147">
        <f>F25/(OD_BS!F6+OD_BS!F7)</f>
        <v>3.2926354535853615</v>
      </c>
      <c r="G26" s="148">
        <f>G25/(OD_BS!G6+OD_BS!G7)</f>
        <v>0.224248054411475</v>
      </c>
      <c r="H26" s="148">
        <f>H25/(OD_BS!H6+OD_BS!H7)</f>
        <v>0</v>
      </c>
      <c r="I26" s="149"/>
      <c r="J26" s="149"/>
      <c r="K26" s="149"/>
      <c r="L26" s="149"/>
      <c r="M26" s="149"/>
      <c r="N26" s="149"/>
    </row>
    <row r="27" spans="1:16" ht="14.4">
      <c r="B27" s="65" t="s">
        <v>883</v>
      </c>
      <c r="C27" s="84" t="s">
        <v>983</v>
      </c>
      <c r="D27" s="85">
        <f>'IP_Notes Raw'!E144</f>
        <v>0</v>
      </c>
      <c r="E27" s="85">
        <f>'IP_Notes Raw'!F144</f>
        <v>0</v>
      </c>
      <c r="F27" s="85">
        <f>'IP_Notes Raw'!G144</f>
        <v>0</v>
      </c>
      <c r="G27" s="86">
        <f>'IP_Notes Raw'!H144</f>
        <v>0</v>
      </c>
      <c r="H27" s="86">
        <f>'IP_Notes Raw'!I144</f>
        <v>0</v>
      </c>
      <c r="I27" s="143"/>
      <c r="J27" s="143"/>
      <c r="K27" s="143"/>
      <c r="L27" s="143"/>
      <c r="M27" s="143"/>
      <c r="N27" s="143"/>
    </row>
    <row r="28" spans="1:16" ht="14.4">
      <c r="B28" s="65" t="s">
        <v>884</v>
      </c>
      <c r="C28" s="84" t="s">
        <v>983</v>
      </c>
      <c r="D28" s="147">
        <f t="shared" ref="D28:G28" si="12">D27/D4</f>
        <v>0</v>
      </c>
      <c r="E28" s="147">
        <f t="shared" si="12"/>
        <v>0</v>
      </c>
      <c r="F28" s="147">
        <f t="shared" si="12"/>
        <v>0</v>
      </c>
      <c r="G28" s="148">
        <f t="shared" si="12"/>
        <v>0</v>
      </c>
      <c r="H28" s="148">
        <f>H27/H4</f>
        <v>0</v>
      </c>
      <c r="I28" s="149"/>
      <c r="J28" s="149"/>
      <c r="K28" s="149"/>
      <c r="L28" s="149"/>
      <c r="M28" s="149"/>
      <c r="N28" s="149"/>
    </row>
    <row r="29" spans="1:16" ht="14.4">
      <c r="B29" s="107"/>
      <c r="C29" s="108"/>
      <c r="D29" s="109"/>
      <c r="E29" s="109"/>
      <c r="F29" s="109"/>
      <c r="G29" s="110"/>
      <c r="H29" s="110"/>
      <c r="I29" s="155"/>
      <c r="J29" s="155"/>
      <c r="K29" s="155"/>
      <c r="L29" s="155"/>
      <c r="M29" s="155"/>
      <c r="N29" s="155"/>
    </row>
    <row r="30" spans="1:16" ht="14.4">
      <c r="B30" s="65" t="s">
        <v>277</v>
      </c>
      <c r="C30" s="84" t="s">
        <v>983</v>
      </c>
      <c r="D30" s="85">
        <f t="shared" ref="D30:G30" si="13">-(D31+SUM(D59:D62))</f>
        <v>-1977959712</v>
      </c>
      <c r="E30" s="85">
        <f t="shared" si="13"/>
        <v>-5019819879</v>
      </c>
      <c r="F30" s="85">
        <f t="shared" si="13"/>
        <v>-172619631145</v>
      </c>
      <c r="G30" s="86">
        <f t="shared" si="13"/>
        <v>-219383871885</v>
      </c>
      <c r="H30" s="86">
        <f>-(H31+SUM(H59:H62))</f>
        <v>0</v>
      </c>
      <c r="I30" s="143"/>
      <c r="J30" s="143"/>
      <c r="K30" s="143"/>
      <c r="L30" s="143"/>
      <c r="M30" s="143"/>
      <c r="N30" s="143"/>
      <c r="P30" s="58"/>
    </row>
    <row r="31" spans="1:16" s="53" customFormat="1" ht="14.4">
      <c r="B31" s="156" t="s">
        <v>885</v>
      </c>
      <c r="C31" s="96" t="s">
        <v>983</v>
      </c>
      <c r="D31" s="97">
        <f>'IP_Notes Raw'!E149</f>
        <v>0</v>
      </c>
      <c r="E31" s="97">
        <f>'IP_Notes Raw'!F149</f>
        <v>1104887671</v>
      </c>
      <c r="F31" s="97">
        <f>'IP_Notes Raw'!G149</f>
        <v>170446855907</v>
      </c>
      <c r="G31" s="98">
        <f>'IP_Notes Raw'!H149</f>
        <v>167149402470</v>
      </c>
      <c r="H31" s="98">
        <f>'IP_Notes Raw'!I149</f>
        <v>0</v>
      </c>
      <c r="I31" s="145"/>
      <c r="J31" s="145"/>
      <c r="K31" s="145"/>
      <c r="L31" s="145"/>
      <c r="M31" s="145"/>
      <c r="N31" s="145"/>
    </row>
    <row r="32" spans="1:16" ht="14.4">
      <c r="B32" s="65" t="s">
        <v>886</v>
      </c>
      <c r="C32" s="84"/>
      <c r="D32" s="85"/>
      <c r="E32" s="85">
        <f>OD_CF!E4+OD_CF!E9+OD_CF!E15+OD_CF!E16+OD_CF!E17+OD_CF!E20</f>
        <v>128630197402</v>
      </c>
      <c r="F32" s="85">
        <f>OD_CF!F4+OD_CF!F9+OD_CF!F15+OD_CF!F16+OD_CF!F17+OD_CF!F20</f>
        <v>-133060990875</v>
      </c>
      <c r="G32" s="86">
        <f>OD_CF!G4+OD_CF!G9+OD_CF!G15+OD_CF!G16+OD_CF!G17+OD_CF!G20</f>
        <v>-239228298649</v>
      </c>
      <c r="H32" s="86">
        <f>OD_CF!H4+OD_CF!H9+OD_CF!H15+OD_CF!H16+OD_CF!H17+OD_CF!H20</f>
        <v>388508013333</v>
      </c>
      <c r="I32" s="143"/>
      <c r="J32" s="143"/>
      <c r="K32" s="143"/>
      <c r="L32" s="143"/>
      <c r="M32" s="143"/>
      <c r="N32" s="143"/>
    </row>
    <row r="33" spans="2:14" ht="14.4">
      <c r="B33" s="65" t="s">
        <v>887</v>
      </c>
      <c r="C33" s="84"/>
      <c r="D33" s="85"/>
      <c r="E33" s="85">
        <f>OD_BS!D6</f>
        <v>4321225874</v>
      </c>
      <c r="F33" s="85">
        <f>OD_BS!E6</f>
        <v>26473013864</v>
      </c>
      <c r="G33" s="86">
        <f>OD_BS!F6</f>
        <v>8461339357</v>
      </c>
      <c r="H33" s="86">
        <f>OD_BS!G6</f>
        <v>136236074178</v>
      </c>
      <c r="I33" s="143"/>
      <c r="J33" s="143"/>
      <c r="K33" s="143"/>
      <c r="L33" s="143"/>
      <c r="M33" s="143"/>
      <c r="N33" s="143"/>
    </row>
    <row r="34" spans="2:14" ht="14.4">
      <c r="B34" s="65" t="s">
        <v>888</v>
      </c>
      <c r="C34" s="84" t="s">
        <v>983</v>
      </c>
      <c r="D34" s="85">
        <f t="shared" ref="D34:G34" si="14">D4*D35</f>
        <v>4321225874</v>
      </c>
      <c r="E34" s="85">
        <f t="shared" si="14"/>
        <v>26473013864</v>
      </c>
      <c r="F34" s="85">
        <f t="shared" si="14"/>
        <v>8461339356.999999</v>
      </c>
      <c r="G34" s="86">
        <f t="shared" si="14"/>
        <v>136236074178.00002</v>
      </c>
      <c r="H34" s="86">
        <f>H4*H35</f>
        <v>288524181242</v>
      </c>
      <c r="I34" s="143"/>
      <c r="J34" s="143"/>
      <c r="K34" s="143"/>
      <c r="L34" s="143"/>
      <c r="M34" s="143"/>
      <c r="N34" s="143"/>
    </row>
    <row r="35" spans="2:14" ht="14.4">
      <c r="B35" s="95" t="s">
        <v>889</v>
      </c>
      <c r="C35" s="96" t="s">
        <v>677</v>
      </c>
      <c r="D35" s="147">
        <f>OD_BS!D6/OD_IS!D4</f>
        <v>4.002959404746864E-3</v>
      </c>
      <c r="E35" s="147">
        <f>OD_BS!E6/OD_IS!E4</f>
        <v>8.4275598328062723E-2</v>
      </c>
      <c r="F35" s="147">
        <f>OD_BS!F6/OD_IS!F4</f>
        <v>2.0553854883034552E-2</v>
      </c>
      <c r="G35" s="148">
        <f>OD_BS!G6/OD_IS!G4</f>
        <v>0.13277142143855195</v>
      </c>
      <c r="H35" s="148">
        <f>OD_BS!H6/OD_IS!H4</f>
        <v>0.17602994363933072</v>
      </c>
      <c r="I35" s="149"/>
      <c r="J35" s="149"/>
      <c r="K35" s="149"/>
      <c r="L35" s="149"/>
      <c r="M35" s="149"/>
      <c r="N35" s="149"/>
    </row>
    <row r="36" spans="2:14" ht="14.4">
      <c r="B36" s="65" t="s">
        <v>890</v>
      </c>
      <c r="C36" s="84" t="s">
        <v>983</v>
      </c>
      <c r="D36" s="85">
        <v>0</v>
      </c>
      <c r="E36" s="85">
        <v>0</v>
      </c>
      <c r="F36" s="85">
        <v>0</v>
      </c>
      <c r="G36" s="86">
        <v>0</v>
      </c>
      <c r="H36" s="86"/>
      <c r="I36" s="143"/>
      <c r="J36" s="143"/>
      <c r="K36" s="143"/>
      <c r="L36" s="143"/>
      <c r="M36" s="143"/>
      <c r="N36" s="143"/>
    </row>
    <row r="37" spans="2:14" ht="14.4">
      <c r="B37" s="65" t="s">
        <v>891</v>
      </c>
      <c r="C37" s="84"/>
      <c r="D37" s="85"/>
      <c r="E37" s="85">
        <f t="shared" ref="E37:G37" si="15">E32+E33-E34+E36</f>
        <v>106478409412</v>
      </c>
      <c r="F37" s="85">
        <f t="shared" si="15"/>
        <v>-115049316368</v>
      </c>
      <c r="G37" s="86">
        <f t="shared" si="15"/>
        <v>-367003033470</v>
      </c>
      <c r="H37" s="86">
        <f>H32+H33-H34+H36</f>
        <v>236219906269</v>
      </c>
      <c r="I37" s="143"/>
      <c r="J37" s="143"/>
      <c r="K37" s="143"/>
      <c r="L37" s="143"/>
      <c r="M37" s="143"/>
      <c r="N37" s="143"/>
    </row>
    <row r="38" spans="2:14" ht="14.4">
      <c r="B38" s="107"/>
      <c r="C38" s="108"/>
      <c r="D38" s="109"/>
      <c r="E38" s="109"/>
      <c r="F38" s="109"/>
      <c r="G38" s="110"/>
      <c r="H38" s="110"/>
      <c r="I38" s="155"/>
      <c r="J38" s="155"/>
      <c r="K38" s="155"/>
      <c r="L38" s="155"/>
      <c r="M38" s="155"/>
      <c r="N38" s="155"/>
    </row>
    <row r="39" spans="2:14" s="53" customFormat="1" ht="14.4">
      <c r="B39" s="95" t="s">
        <v>892</v>
      </c>
      <c r="C39" s="96"/>
      <c r="D39" s="97"/>
      <c r="E39" s="97"/>
      <c r="F39" s="97"/>
      <c r="G39" s="98"/>
      <c r="H39" s="98"/>
      <c r="I39" s="145"/>
      <c r="J39" s="145"/>
      <c r="K39" s="145"/>
      <c r="L39" s="145"/>
      <c r="M39" s="145"/>
      <c r="N39" s="145"/>
    </row>
    <row r="40" spans="2:14" ht="14.4">
      <c r="B40" s="65" t="s">
        <v>893</v>
      </c>
      <c r="C40" s="84"/>
      <c r="D40" s="85"/>
      <c r="E40" s="85"/>
      <c r="F40" s="85"/>
      <c r="G40" s="86"/>
      <c r="H40" s="86"/>
      <c r="I40" s="143"/>
      <c r="J40" s="143"/>
      <c r="K40" s="143"/>
      <c r="L40" s="143"/>
      <c r="M40" s="143"/>
      <c r="N40" s="143"/>
    </row>
    <row r="41" spans="2:14" ht="14.4">
      <c r="B41" s="65" t="s">
        <v>894</v>
      </c>
      <c r="C41" s="84"/>
      <c r="D41" s="85"/>
      <c r="E41" s="85"/>
      <c r="F41" s="85"/>
      <c r="G41" s="86"/>
      <c r="H41" s="86"/>
      <c r="I41" s="143"/>
      <c r="J41" s="143"/>
      <c r="K41" s="143"/>
      <c r="L41" s="143"/>
      <c r="M41" s="143"/>
      <c r="N41" s="143"/>
    </row>
    <row r="42" spans="2:14" ht="14.4">
      <c r="B42" s="65" t="s">
        <v>895</v>
      </c>
      <c r="C42" s="84"/>
      <c r="D42" s="85"/>
      <c r="E42" s="85"/>
      <c r="F42" s="85"/>
      <c r="G42" s="86"/>
      <c r="H42" s="86"/>
      <c r="I42" s="143"/>
      <c r="J42" s="143"/>
      <c r="K42" s="143"/>
      <c r="L42" s="143"/>
      <c r="M42" s="143"/>
      <c r="N42" s="143"/>
    </row>
    <row r="43" spans="2:14" ht="14.4">
      <c r="B43" s="65" t="s">
        <v>896</v>
      </c>
      <c r="C43" s="84"/>
      <c r="D43" s="85"/>
      <c r="E43" s="85"/>
      <c r="F43" s="85"/>
      <c r="G43" s="86"/>
      <c r="H43" s="86"/>
      <c r="I43" s="143"/>
      <c r="J43" s="143"/>
      <c r="K43" s="143"/>
      <c r="L43" s="143"/>
      <c r="M43" s="143"/>
      <c r="N43" s="143"/>
    </row>
    <row r="44" spans="2:14" ht="14.4">
      <c r="B44" s="65" t="s">
        <v>897</v>
      </c>
      <c r="C44" s="84"/>
      <c r="D44" s="85"/>
      <c r="E44" s="85"/>
      <c r="F44" s="85"/>
      <c r="G44" s="86"/>
      <c r="H44" s="86"/>
      <c r="I44" s="143"/>
      <c r="J44" s="143"/>
      <c r="K44" s="143"/>
      <c r="L44" s="143"/>
      <c r="M44" s="143"/>
      <c r="N44" s="143"/>
    </row>
    <row r="45" spans="2:14" ht="14.4">
      <c r="B45" s="107"/>
      <c r="C45" s="108"/>
      <c r="D45" s="109"/>
      <c r="E45" s="109"/>
      <c r="F45" s="109"/>
      <c r="G45" s="110"/>
      <c r="H45" s="110"/>
      <c r="I45" s="155"/>
      <c r="J45" s="155"/>
      <c r="K45" s="155"/>
      <c r="L45" s="155"/>
      <c r="M45" s="155"/>
      <c r="N45" s="155"/>
    </row>
    <row r="46" spans="2:14" s="53" customFormat="1" ht="14.4">
      <c r="B46" s="95" t="s">
        <v>898</v>
      </c>
      <c r="C46" s="96"/>
      <c r="D46" s="97"/>
      <c r="E46" s="97"/>
      <c r="F46" s="97"/>
      <c r="G46" s="98"/>
      <c r="H46" s="98"/>
      <c r="I46" s="145"/>
      <c r="J46" s="145"/>
      <c r="K46" s="145"/>
      <c r="L46" s="145"/>
      <c r="M46" s="145"/>
      <c r="N46" s="145"/>
    </row>
    <row r="47" spans="2:14" ht="14.4">
      <c r="B47" s="65" t="s">
        <v>893</v>
      </c>
      <c r="C47" s="84"/>
      <c r="D47" s="85"/>
      <c r="E47" s="85"/>
      <c r="F47" s="85"/>
      <c r="G47" s="86"/>
      <c r="H47" s="86"/>
      <c r="I47" s="143"/>
      <c r="J47" s="143"/>
      <c r="K47" s="143"/>
      <c r="L47" s="143"/>
      <c r="M47" s="143"/>
      <c r="N47" s="143"/>
    </row>
    <row r="48" spans="2:14" ht="14.4">
      <c r="B48" s="65" t="s">
        <v>899</v>
      </c>
      <c r="C48" s="84"/>
      <c r="D48" s="85"/>
      <c r="E48" s="85"/>
      <c r="F48" s="85"/>
      <c r="G48" s="86"/>
      <c r="H48" s="86"/>
      <c r="I48" s="143"/>
      <c r="J48" s="143"/>
      <c r="K48" s="143"/>
      <c r="L48" s="143"/>
      <c r="M48" s="143"/>
      <c r="N48" s="143"/>
    </row>
    <row r="49" spans="2:14" ht="14.4">
      <c r="B49" s="65" t="s">
        <v>900</v>
      </c>
      <c r="C49" s="84" t="s">
        <v>983</v>
      </c>
      <c r="D49" s="85"/>
      <c r="E49" s="85"/>
      <c r="F49" s="85"/>
      <c r="G49" s="86"/>
      <c r="H49" s="86"/>
      <c r="I49" s="143"/>
      <c r="J49" s="143"/>
      <c r="K49" s="143"/>
      <c r="L49" s="143"/>
      <c r="M49" s="143"/>
      <c r="N49" s="143"/>
    </row>
    <row r="50" spans="2:14" ht="14.4">
      <c r="B50" s="65" t="s">
        <v>901</v>
      </c>
      <c r="C50" s="84" t="s">
        <v>983</v>
      </c>
      <c r="D50" s="85"/>
      <c r="E50" s="85"/>
      <c r="F50" s="85"/>
      <c r="G50" s="86"/>
      <c r="H50" s="86"/>
      <c r="I50" s="143"/>
      <c r="J50" s="143"/>
      <c r="K50" s="143"/>
      <c r="L50" s="143"/>
      <c r="M50" s="143"/>
      <c r="N50" s="143"/>
    </row>
    <row r="51" spans="2:14" ht="14.4">
      <c r="B51" s="65" t="s">
        <v>902</v>
      </c>
      <c r="C51" s="96" t="s">
        <v>677</v>
      </c>
      <c r="D51" s="147"/>
      <c r="E51" s="147"/>
      <c r="F51" s="147"/>
      <c r="G51" s="148"/>
      <c r="H51" s="148"/>
      <c r="I51" s="149"/>
      <c r="J51" s="149"/>
      <c r="K51" s="149"/>
      <c r="L51" s="149"/>
      <c r="M51" s="149"/>
      <c r="N51" s="149"/>
    </row>
    <row r="52" spans="2:14" ht="14.4">
      <c r="B52" s="65" t="s">
        <v>903</v>
      </c>
      <c r="C52" s="84" t="s">
        <v>983</v>
      </c>
      <c r="D52" s="85"/>
      <c r="E52" s="85"/>
      <c r="F52" s="85"/>
      <c r="G52" s="86"/>
      <c r="H52" s="86"/>
      <c r="I52" s="143"/>
      <c r="J52" s="143"/>
      <c r="K52" s="143"/>
      <c r="L52" s="143"/>
      <c r="M52" s="143"/>
      <c r="N52" s="143"/>
    </row>
    <row r="53" spans="2:14" ht="14.4">
      <c r="B53" s="65" t="s">
        <v>904</v>
      </c>
      <c r="C53" s="84"/>
      <c r="D53" s="85"/>
      <c r="E53" s="85"/>
      <c r="F53" s="85"/>
      <c r="G53" s="86"/>
      <c r="H53" s="86"/>
      <c r="I53" s="143"/>
      <c r="J53" s="143"/>
      <c r="K53" s="143"/>
      <c r="L53" s="143"/>
      <c r="M53" s="143"/>
      <c r="N53" s="143"/>
    </row>
    <row r="54" spans="2:14" ht="14.4">
      <c r="B54" s="65" t="s">
        <v>896</v>
      </c>
      <c r="C54" s="84"/>
      <c r="D54" s="85"/>
      <c r="E54" s="85"/>
      <c r="F54" s="85"/>
      <c r="G54" s="86"/>
      <c r="H54" s="86"/>
      <c r="I54" s="143"/>
      <c r="J54" s="143"/>
      <c r="K54" s="143"/>
      <c r="L54" s="143"/>
      <c r="M54" s="143"/>
      <c r="N54" s="143"/>
    </row>
    <row r="55" spans="2:14" ht="14.4">
      <c r="B55" s="65" t="s">
        <v>897</v>
      </c>
      <c r="C55" s="84"/>
      <c r="D55" s="85"/>
      <c r="E55" s="85"/>
      <c r="F55" s="85"/>
      <c r="G55" s="86"/>
      <c r="H55" s="86"/>
      <c r="I55" s="143"/>
      <c r="J55" s="143"/>
      <c r="K55" s="143"/>
      <c r="L55" s="143"/>
      <c r="M55" s="143"/>
      <c r="N55" s="143"/>
    </row>
    <row r="56" spans="2:14" ht="14.4">
      <c r="B56" s="65"/>
      <c r="C56" s="84"/>
      <c r="D56" s="85"/>
      <c r="E56" s="85"/>
      <c r="F56" s="85"/>
      <c r="G56" s="86"/>
      <c r="H56" s="86"/>
      <c r="I56" s="143"/>
      <c r="J56" s="143"/>
      <c r="K56" s="143"/>
      <c r="L56" s="143"/>
      <c r="M56" s="143"/>
      <c r="N56" s="143"/>
    </row>
    <row r="57" spans="2:14" ht="14.4">
      <c r="B57" s="65" t="s">
        <v>882</v>
      </c>
      <c r="C57" s="84"/>
      <c r="D57" s="147">
        <v>0</v>
      </c>
      <c r="E57" s="147">
        <f>-E12/(OD_BS!E21+OD_BS!E24)</f>
        <v>7.2461561626311607E-2</v>
      </c>
      <c r="F57" s="147">
        <f>-F12/(OD_BS!F21+OD_BS!F24)</f>
        <v>0.1022260504104075</v>
      </c>
      <c r="G57" s="148">
        <f>-G12/(OD_BS!G21+OD_BS!G24)</f>
        <v>4.8856746708112408E-2</v>
      </c>
      <c r="H57" s="148">
        <f>-H12/(OD_BS!H21+OD_BS!H24)</f>
        <v>7.5923966547723681E-2</v>
      </c>
      <c r="I57" s="149"/>
      <c r="J57" s="149"/>
      <c r="K57" s="149"/>
      <c r="L57" s="149"/>
      <c r="M57" s="149"/>
      <c r="N57" s="149"/>
    </row>
    <row r="58" spans="2:14" ht="14.4">
      <c r="B58" s="65"/>
      <c r="C58" s="84"/>
      <c r="D58" s="85"/>
      <c r="E58" s="85"/>
      <c r="F58" s="85"/>
      <c r="G58" s="86"/>
      <c r="H58" s="86"/>
      <c r="I58" s="143"/>
      <c r="J58" s="143"/>
      <c r="K58" s="143"/>
      <c r="L58" s="143"/>
      <c r="M58" s="143"/>
      <c r="N58" s="143"/>
    </row>
    <row r="59" spans="2:14" ht="14.4">
      <c r="B59" s="65" t="s">
        <v>905</v>
      </c>
      <c r="C59" s="84" t="s">
        <v>983</v>
      </c>
      <c r="D59" s="85">
        <f>'IP_Notes Raw'!E150</f>
        <v>0</v>
      </c>
      <c r="E59" s="85">
        <f>'IP_Notes Raw'!F150</f>
        <v>0</v>
      </c>
      <c r="F59" s="85">
        <f>'IP_Notes Raw'!G150</f>
        <v>0</v>
      </c>
      <c r="G59" s="86">
        <f>'IP_Notes Raw'!H150</f>
        <v>0</v>
      </c>
      <c r="H59" s="86">
        <f>'IP_Notes Raw'!I150</f>
        <v>0</v>
      </c>
      <c r="I59" s="143"/>
      <c r="J59" s="143"/>
      <c r="K59" s="143"/>
      <c r="L59" s="143"/>
      <c r="M59" s="143"/>
      <c r="N59" s="143"/>
    </row>
    <row r="60" spans="2:14" ht="14.4">
      <c r="B60" s="65" t="s">
        <v>906</v>
      </c>
      <c r="C60" s="84" t="s">
        <v>983</v>
      </c>
      <c r="D60" s="85">
        <f>'IP_Notes Raw'!E153</f>
        <v>0</v>
      </c>
      <c r="E60" s="85">
        <f>'IP_Notes Raw'!F153</f>
        <v>3914932208</v>
      </c>
      <c r="F60" s="85">
        <f>'IP_Notes Raw'!G153</f>
        <v>2172775238</v>
      </c>
      <c r="G60" s="86">
        <f>'IP_Notes Raw'!H153</f>
        <v>0</v>
      </c>
      <c r="H60" s="86">
        <f>'IP_Notes Raw'!I153</f>
        <v>0</v>
      </c>
      <c r="I60" s="143"/>
      <c r="J60" s="143"/>
      <c r="K60" s="143"/>
      <c r="L60" s="143"/>
      <c r="M60" s="143"/>
      <c r="N60" s="143"/>
    </row>
    <row r="61" spans="2:14" ht="14.4">
      <c r="B61" s="65" t="s">
        <v>907</v>
      </c>
      <c r="C61" s="84" t="s">
        <v>983</v>
      </c>
      <c r="D61" s="85">
        <f>'IP_Notes Raw'!E154</f>
        <v>0</v>
      </c>
      <c r="E61" s="85">
        <f>'IP_Notes Raw'!F154</f>
        <v>0</v>
      </c>
      <c r="F61" s="85">
        <f>'IP_Notes Raw'!G154</f>
        <v>0</v>
      </c>
      <c r="G61" s="86">
        <f>'IP_Notes Raw'!H154</f>
        <v>0</v>
      </c>
      <c r="H61" s="86">
        <f>'IP_Notes Raw'!I154</f>
        <v>0</v>
      </c>
      <c r="I61" s="143"/>
      <c r="J61" s="143"/>
      <c r="K61" s="143"/>
      <c r="L61" s="143"/>
      <c r="M61" s="143"/>
      <c r="N61" s="143"/>
    </row>
    <row r="62" spans="2:14" ht="14.4">
      <c r="B62" s="65" t="s">
        <v>908</v>
      </c>
      <c r="C62" s="84" t="s">
        <v>983</v>
      </c>
      <c r="D62" s="85">
        <f>'IP_Notes Raw'!E151+'IP_Notes Raw'!E152+'IP_Notes Raw'!E155+'IP_Notes Raw'!E156</f>
        <v>1977959712</v>
      </c>
      <c r="E62" s="85">
        <f>'IP_Notes Raw'!F151+'IP_Notes Raw'!F152+'IP_Notes Raw'!F155+'IP_Notes Raw'!F156</f>
        <v>0</v>
      </c>
      <c r="F62" s="85">
        <f>'IP_Notes Raw'!G151+'IP_Notes Raw'!G152+'IP_Notes Raw'!G155+'IP_Notes Raw'!G156</f>
        <v>0</v>
      </c>
      <c r="G62" s="86">
        <f>'IP_Notes Raw'!H151+'IP_Notes Raw'!H152+'IP_Notes Raw'!H155+'IP_Notes Raw'!H156</f>
        <v>52234469415</v>
      </c>
      <c r="H62" s="86">
        <f>'IP_Notes Raw'!I151+'IP_Notes Raw'!I152+'IP_Notes Raw'!I155+'IP_Notes Raw'!I156</f>
        <v>0</v>
      </c>
      <c r="I62" s="143"/>
      <c r="J62" s="143"/>
      <c r="K62" s="143"/>
      <c r="L62" s="143"/>
      <c r="M62" s="143"/>
      <c r="N62" s="143"/>
    </row>
    <row r="63" spans="2:14" ht="14.4">
      <c r="B63" s="65"/>
      <c r="C63" s="84"/>
      <c r="D63" s="157"/>
      <c r="E63" s="157"/>
      <c r="F63" s="157"/>
      <c r="G63" s="157"/>
      <c r="H63" s="157"/>
      <c r="I63" s="134"/>
      <c r="J63" s="134"/>
      <c r="K63" s="134"/>
      <c r="L63" s="134"/>
      <c r="M63" s="134"/>
      <c r="N63" s="134"/>
    </row>
    <row r="64" spans="2:14" ht="14.4">
      <c r="B64" s="65"/>
      <c r="C64" s="84"/>
      <c r="D64" s="157"/>
      <c r="E64" s="157"/>
      <c r="F64" s="157"/>
      <c r="G64" s="157"/>
      <c r="H64" s="157"/>
      <c r="I64" s="134"/>
      <c r="J64" s="134"/>
      <c r="K64" s="134"/>
      <c r="L64" s="134"/>
      <c r="M64" s="134"/>
      <c r="N64" s="134"/>
    </row>
    <row r="65" spans="2:14" ht="14.4">
      <c r="B65" s="65"/>
      <c r="C65" s="84"/>
      <c r="D65" s="157"/>
      <c r="E65" s="157"/>
      <c r="F65" s="157"/>
      <c r="G65" s="157"/>
      <c r="H65" s="157"/>
      <c r="I65" s="134"/>
      <c r="J65" s="134"/>
      <c r="K65" s="134"/>
      <c r="L65" s="134"/>
      <c r="M65" s="134"/>
      <c r="N65" s="134"/>
    </row>
    <row r="66" spans="2:14" ht="14.4">
      <c r="B66" s="65"/>
      <c r="C66" s="84"/>
      <c r="D66" s="157"/>
      <c r="E66" s="157"/>
      <c r="F66" s="157"/>
      <c r="G66" s="157"/>
      <c r="H66" s="157"/>
      <c r="I66" s="134"/>
      <c r="J66" s="134"/>
      <c r="K66" s="134"/>
      <c r="L66" s="134"/>
      <c r="M66" s="134"/>
      <c r="N66" s="134"/>
    </row>
    <row r="67" spans="2:14" ht="14.4">
      <c r="B67" s="65"/>
      <c r="C67" s="84"/>
      <c r="D67" s="157"/>
      <c r="E67" s="157"/>
      <c r="F67" s="157"/>
      <c r="G67" s="157"/>
      <c r="H67" s="157"/>
      <c r="I67" s="134"/>
      <c r="J67" s="134"/>
      <c r="K67" s="134"/>
      <c r="L67" s="134"/>
      <c r="M67" s="134"/>
      <c r="N67" s="134"/>
    </row>
    <row r="68" spans="2:14" ht="14.4">
      <c r="B68" s="65"/>
      <c r="C68" s="84"/>
      <c r="D68" s="157"/>
      <c r="E68" s="157"/>
      <c r="F68" s="157"/>
      <c r="G68" s="157"/>
      <c r="H68" s="157"/>
      <c r="I68" s="134"/>
      <c r="J68" s="134"/>
      <c r="K68" s="134"/>
      <c r="L68" s="134"/>
      <c r="M68" s="134"/>
      <c r="N68" s="134"/>
    </row>
    <row r="69" spans="2:14" ht="14.4">
      <c r="B69" s="65"/>
      <c r="C69" s="84"/>
      <c r="D69" s="157"/>
      <c r="E69" s="157"/>
      <c r="F69" s="157"/>
      <c r="G69" s="157"/>
      <c r="H69" s="157"/>
      <c r="I69" s="134"/>
      <c r="J69" s="134"/>
      <c r="K69" s="134"/>
      <c r="L69" s="134"/>
      <c r="M69" s="134"/>
      <c r="N69" s="134"/>
    </row>
    <row r="70" spans="2:14" ht="14.4">
      <c r="B70" s="65"/>
      <c r="C70" s="84"/>
      <c r="D70" s="157"/>
      <c r="E70" s="157"/>
      <c r="F70" s="157"/>
      <c r="G70" s="157"/>
      <c r="H70" s="157"/>
      <c r="I70" s="134"/>
      <c r="J70" s="134"/>
      <c r="K70" s="134"/>
      <c r="L70" s="134"/>
      <c r="M70" s="134"/>
      <c r="N70" s="134"/>
    </row>
    <row r="71" spans="2:14" ht="14.4">
      <c r="B71" s="65"/>
      <c r="C71" s="84"/>
      <c r="D71" s="157"/>
      <c r="E71" s="157"/>
      <c r="F71" s="157"/>
      <c r="G71" s="157"/>
      <c r="H71" s="157"/>
      <c r="I71" s="134"/>
      <c r="J71" s="134"/>
      <c r="K71" s="134"/>
      <c r="L71" s="134"/>
      <c r="M71" s="134"/>
      <c r="N71" s="134"/>
    </row>
    <row r="72" spans="2:14" ht="14.4">
      <c r="B72" s="65"/>
      <c r="C72" s="84"/>
      <c r="D72" s="157"/>
      <c r="E72" s="157"/>
      <c r="F72" s="157"/>
      <c r="G72" s="157"/>
      <c r="H72" s="157"/>
      <c r="I72" s="134"/>
      <c r="J72" s="134"/>
      <c r="K72" s="134"/>
      <c r="L72" s="134"/>
      <c r="M72" s="134"/>
      <c r="N72" s="134"/>
    </row>
    <row r="73" spans="2:14" ht="14.4">
      <c r="B73" s="65"/>
      <c r="C73" s="84"/>
      <c r="D73" s="157"/>
      <c r="E73" s="157"/>
      <c r="F73" s="157"/>
      <c r="G73" s="157"/>
      <c r="H73" s="157"/>
      <c r="I73" s="134"/>
      <c r="J73" s="134"/>
      <c r="K73" s="134"/>
      <c r="L73" s="134"/>
      <c r="M73" s="134"/>
      <c r="N73" s="134"/>
    </row>
    <row r="74" spans="2:14" ht="14.4">
      <c r="B74" s="65"/>
      <c r="C74" s="84"/>
      <c r="D74" s="157"/>
      <c r="E74" s="157"/>
      <c r="F74" s="157"/>
      <c r="G74" s="157"/>
      <c r="H74" s="157"/>
      <c r="I74" s="134"/>
      <c r="J74" s="134"/>
      <c r="K74" s="134"/>
      <c r="L74" s="134"/>
      <c r="M74" s="134"/>
      <c r="N74" s="134"/>
    </row>
    <row r="75" spans="2:14" ht="14.4">
      <c r="B75" s="65"/>
      <c r="C75" s="84"/>
      <c r="D75" s="157"/>
      <c r="E75" s="157"/>
      <c r="F75" s="157"/>
      <c r="G75" s="157"/>
      <c r="H75" s="157"/>
      <c r="I75" s="134"/>
      <c r="J75" s="134"/>
      <c r="K75" s="134"/>
      <c r="L75" s="134"/>
      <c r="M75" s="134"/>
      <c r="N75" s="134"/>
    </row>
    <row r="76" spans="2:14" ht="14.4">
      <c r="B76" s="65"/>
      <c r="C76" s="84"/>
      <c r="D76" s="157"/>
      <c r="E76" s="157"/>
      <c r="F76" s="157"/>
      <c r="G76" s="157"/>
      <c r="H76" s="157"/>
      <c r="I76" s="134"/>
      <c r="J76" s="134"/>
      <c r="K76" s="134"/>
      <c r="L76" s="134"/>
      <c r="M76" s="134"/>
      <c r="N76" s="134"/>
    </row>
    <row r="77" spans="2:14" ht="14.4">
      <c r="B77" s="65"/>
      <c r="C77" s="84"/>
      <c r="D77" s="157"/>
      <c r="E77" s="157"/>
      <c r="F77" s="157"/>
      <c r="G77" s="157"/>
      <c r="H77" s="157"/>
      <c r="I77" s="134"/>
      <c r="J77" s="134"/>
      <c r="K77" s="134"/>
      <c r="L77" s="134"/>
      <c r="M77" s="134"/>
      <c r="N77" s="134"/>
    </row>
    <row r="78" spans="2:14" ht="14.4">
      <c r="B78" s="65"/>
      <c r="C78" s="84"/>
      <c r="D78" s="157"/>
      <c r="E78" s="157"/>
      <c r="F78" s="157"/>
      <c r="G78" s="157"/>
      <c r="H78" s="157"/>
      <c r="I78" s="134"/>
      <c r="J78" s="134"/>
      <c r="K78" s="134"/>
      <c r="L78" s="134"/>
      <c r="M78" s="134"/>
      <c r="N78" s="134"/>
    </row>
    <row r="79" spans="2:14" ht="14.4">
      <c r="B79" s="65"/>
      <c r="C79" s="84"/>
      <c r="D79" s="157"/>
      <c r="E79" s="157"/>
      <c r="F79" s="157"/>
      <c r="G79" s="157"/>
      <c r="H79" s="157"/>
      <c r="I79" s="134"/>
      <c r="J79" s="134"/>
      <c r="K79" s="134"/>
      <c r="L79" s="134"/>
      <c r="M79" s="134"/>
      <c r="N79" s="134"/>
    </row>
    <row r="80" spans="2:14" ht="14.4">
      <c r="B80" s="65"/>
      <c r="C80" s="84"/>
      <c r="D80" s="157"/>
      <c r="E80" s="157"/>
      <c r="F80" s="157"/>
      <c r="G80" s="157"/>
      <c r="H80" s="157"/>
      <c r="I80" s="134"/>
      <c r="J80" s="134"/>
      <c r="K80" s="134"/>
      <c r="L80" s="134"/>
      <c r="M80" s="134"/>
      <c r="N80" s="134"/>
    </row>
    <row r="81" spans="2:14" ht="14.4">
      <c r="B81" s="65"/>
      <c r="C81" s="84"/>
      <c r="D81" s="157"/>
      <c r="E81" s="157"/>
      <c r="F81" s="157"/>
      <c r="G81" s="157"/>
      <c r="H81" s="157"/>
      <c r="I81" s="134"/>
      <c r="J81" s="134"/>
      <c r="K81" s="134"/>
      <c r="L81" s="134"/>
      <c r="M81" s="134"/>
      <c r="N81" s="134"/>
    </row>
    <row r="82" spans="2:14" ht="14.4">
      <c r="B82" s="65"/>
      <c r="C82" s="84"/>
      <c r="D82" s="157"/>
      <c r="E82" s="157"/>
      <c r="F82" s="157"/>
      <c r="G82" s="157"/>
      <c r="H82" s="157"/>
      <c r="I82" s="134"/>
      <c r="J82" s="134"/>
      <c r="K82" s="134"/>
      <c r="L82" s="134"/>
      <c r="M82" s="134"/>
      <c r="N82" s="134"/>
    </row>
    <row r="83" spans="2:14" ht="14.4">
      <c r="B83" s="65"/>
      <c r="C83" s="84"/>
      <c r="D83" s="157"/>
      <c r="E83" s="157"/>
      <c r="F83" s="157"/>
      <c r="G83" s="157"/>
      <c r="H83" s="157"/>
      <c r="I83" s="134"/>
      <c r="J83" s="134"/>
      <c r="K83" s="134"/>
      <c r="L83" s="134"/>
      <c r="M83" s="134"/>
      <c r="N83" s="134"/>
    </row>
    <row r="84" spans="2:14" ht="14.4">
      <c r="B84" s="65"/>
      <c r="C84" s="84"/>
      <c r="D84" s="157"/>
      <c r="E84" s="157"/>
      <c r="F84" s="157"/>
      <c r="G84" s="157"/>
      <c r="H84" s="157"/>
      <c r="I84" s="134"/>
      <c r="J84" s="134"/>
      <c r="K84" s="134"/>
      <c r="L84" s="134"/>
      <c r="M84" s="134"/>
      <c r="N84" s="134"/>
    </row>
    <row r="85" spans="2:14" ht="14.4">
      <c r="B85" s="65"/>
      <c r="C85" s="84"/>
      <c r="D85" s="157"/>
      <c r="E85" s="157"/>
      <c r="F85" s="157"/>
      <c r="G85" s="157"/>
      <c r="H85" s="157"/>
      <c r="I85" s="134"/>
      <c r="J85" s="134"/>
      <c r="K85" s="134"/>
      <c r="L85" s="134"/>
      <c r="M85" s="134"/>
      <c r="N85" s="134"/>
    </row>
    <row r="86" spans="2:14" ht="14.4">
      <c r="B86" s="65"/>
      <c r="C86" s="84"/>
      <c r="D86" s="157"/>
      <c r="E86" s="157"/>
      <c r="F86" s="157"/>
      <c r="G86" s="157"/>
      <c r="H86" s="157"/>
      <c r="I86" s="134"/>
      <c r="J86" s="134"/>
      <c r="K86" s="134"/>
      <c r="L86" s="134"/>
      <c r="M86" s="134"/>
      <c r="N86" s="134"/>
    </row>
    <row r="87" spans="2:14" ht="14.4">
      <c r="B87" s="65"/>
      <c r="C87" s="84"/>
      <c r="D87" s="157"/>
      <c r="E87" s="157"/>
      <c r="F87" s="157"/>
      <c r="G87" s="157"/>
      <c r="H87" s="157"/>
      <c r="I87" s="134"/>
      <c r="J87" s="134"/>
      <c r="K87" s="134"/>
      <c r="L87" s="134"/>
      <c r="M87" s="134"/>
      <c r="N87" s="134"/>
    </row>
    <row r="88" spans="2:14" ht="14.4">
      <c r="B88" s="65"/>
      <c r="C88" s="84"/>
      <c r="D88" s="157"/>
      <c r="E88" s="157"/>
      <c r="F88" s="157"/>
      <c r="G88" s="157"/>
      <c r="H88" s="157"/>
      <c r="I88" s="134"/>
      <c r="J88" s="134"/>
      <c r="K88" s="134"/>
      <c r="L88" s="134"/>
      <c r="M88" s="134"/>
      <c r="N88" s="134"/>
    </row>
    <row r="89" spans="2:14" ht="14.4">
      <c r="B89" s="65"/>
      <c r="C89" s="84"/>
      <c r="D89" s="157"/>
      <c r="E89" s="157"/>
      <c r="F89" s="157"/>
      <c r="G89" s="157"/>
      <c r="H89" s="157"/>
      <c r="I89" s="134"/>
      <c r="J89" s="134"/>
      <c r="K89" s="134"/>
      <c r="L89" s="134"/>
      <c r="M89" s="134"/>
      <c r="N89" s="134"/>
    </row>
    <row r="90" spans="2:14" ht="14.4">
      <c r="B90" s="65"/>
      <c r="C90" s="84"/>
      <c r="D90" s="157"/>
      <c r="E90" s="157"/>
      <c r="F90" s="157"/>
      <c r="G90" s="157"/>
      <c r="H90" s="157"/>
      <c r="I90" s="134"/>
      <c r="J90" s="134"/>
      <c r="K90" s="134"/>
      <c r="L90" s="134"/>
      <c r="M90" s="134"/>
      <c r="N90" s="134"/>
    </row>
    <row r="91" spans="2:14" ht="14.4">
      <c r="B91" s="65"/>
      <c r="C91" s="84"/>
      <c r="D91" s="157"/>
      <c r="E91" s="157"/>
      <c r="F91" s="157"/>
      <c r="G91" s="157"/>
      <c r="H91" s="157"/>
      <c r="I91" s="134"/>
      <c r="J91" s="134"/>
      <c r="K91" s="134"/>
      <c r="L91" s="134"/>
      <c r="M91" s="134"/>
      <c r="N91" s="134"/>
    </row>
    <row r="92" spans="2:14" ht="14.4">
      <c r="B92" s="65"/>
      <c r="C92" s="84"/>
      <c r="D92" s="157"/>
      <c r="E92" s="157"/>
      <c r="F92" s="157"/>
      <c r="G92" s="157"/>
      <c r="H92" s="157"/>
      <c r="I92" s="134"/>
      <c r="J92" s="134"/>
      <c r="K92" s="134"/>
      <c r="L92" s="134"/>
      <c r="M92" s="134"/>
      <c r="N92" s="134"/>
    </row>
    <row r="93" spans="2:14" ht="14.4">
      <c r="B93" s="65"/>
      <c r="C93" s="84"/>
      <c r="D93" s="157"/>
      <c r="E93" s="157"/>
      <c r="F93" s="157"/>
      <c r="G93" s="157"/>
      <c r="H93" s="157"/>
      <c r="I93" s="134"/>
      <c r="J93" s="134"/>
      <c r="K93" s="134"/>
      <c r="L93" s="134"/>
      <c r="M93" s="134"/>
      <c r="N93" s="134"/>
    </row>
    <row r="94" spans="2:14" ht="14.4">
      <c r="B94" s="65"/>
      <c r="C94" s="84"/>
      <c r="D94" s="157"/>
      <c r="E94" s="157"/>
      <c r="F94" s="157"/>
      <c r="G94" s="157"/>
      <c r="H94" s="157"/>
      <c r="I94" s="134"/>
      <c r="J94" s="134"/>
      <c r="K94" s="134"/>
      <c r="L94" s="134"/>
      <c r="M94" s="134"/>
      <c r="N94" s="134"/>
    </row>
    <row r="95" spans="2:14" ht="14.4">
      <c r="B95" s="65"/>
      <c r="C95" s="84"/>
      <c r="D95" s="157"/>
      <c r="E95" s="157"/>
      <c r="F95" s="157"/>
      <c r="G95" s="157"/>
      <c r="H95" s="157"/>
      <c r="I95" s="134"/>
      <c r="J95" s="134"/>
      <c r="K95" s="134"/>
      <c r="L95" s="134"/>
      <c r="M95" s="134"/>
      <c r="N95" s="134"/>
    </row>
    <row r="96" spans="2:14" ht="14.4">
      <c r="B96" s="65"/>
      <c r="C96" s="84"/>
      <c r="D96" s="157"/>
      <c r="E96" s="157"/>
      <c r="F96" s="157"/>
      <c r="G96" s="157"/>
      <c r="H96" s="157"/>
      <c r="I96" s="134"/>
      <c r="J96" s="134"/>
      <c r="K96" s="134"/>
      <c r="L96" s="134"/>
      <c r="M96" s="134"/>
      <c r="N96" s="134"/>
    </row>
    <row r="97" spans="2:14" ht="14.4">
      <c r="B97" s="65"/>
      <c r="C97" s="84"/>
      <c r="D97" s="157"/>
      <c r="E97" s="157"/>
      <c r="F97" s="157"/>
      <c r="G97" s="157"/>
      <c r="H97" s="157"/>
      <c r="I97" s="134"/>
      <c r="J97" s="134"/>
      <c r="K97" s="134"/>
      <c r="L97" s="134"/>
      <c r="M97" s="134"/>
      <c r="N97" s="134"/>
    </row>
    <row r="98" spans="2:14" ht="14.4">
      <c r="B98" s="65"/>
      <c r="C98" s="84"/>
      <c r="D98" s="157"/>
      <c r="E98" s="157"/>
      <c r="F98" s="157"/>
      <c r="G98" s="157"/>
      <c r="H98" s="157"/>
      <c r="I98" s="134"/>
      <c r="J98" s="134"/>
      <c r="K98" s="134"/>
      <c r="L98" s="134"/>
      <c r="M98" s="134"/>
      <c r="N98" s="134"/>
    </row>
    <row r="99" spans="2:14" ht="14.4">
      <c r="B99" s="65"/>
      <c r="C99" s="84"/>
      <c r="D99" s="157"/>
      <c r="E99" s="157"/>
      <c r="F99" s="157"/>
      <c r="G99" s="157"/>
      <c r="H99" s="157"/>
      <c r="I99" s="134"/>
      <c r="J99" s="134"/>
      <c r="K99" s="134"/>
      <c r="L99" s="134"/>
      <c r="M99" s="134"/>
      <c r="N99" s="134"/>
    </row>
    <row r="100" spans="2:14" ht="14.4">
      <c r="B100" s="65"/>
      <c r="C100" s="84"/>
      <c r="D100" s="157"/>
      <c r="E100" s="157"/>
      <c r="F100" s="157"/>
      <c r="G100" s="157"/>
      <c r="H100" s="157"/>
      <c r="I100" s="134"/>
      <c r="J100" s="134"/>
      <c r="K100" s="134"/>
      <c r="L100" s="134"/>
      <c r="M100" s="134"/>
      <c r="N100" s="134"/>
    </row>
    <row r="101" spans="2:14" ht="14.4">
      <c r="B101" s="65"/>
      <c r="C101" s="84"/>
      <c r="D101" s="157"/>
      <c r="E101" s="157"/>
      <c r="F101" s="157"/>
      <c r="G101" s="157"/>
      <c r="H101" s="157"/>
      <c r="I101" s="134"/>
      <c r="J101" s="134"/>
      <c r="K101" s="134"/>
      <c r="L101" s="134"/>
      <c r="M101" s="134"/>
      <c r="N101" s="134"/>
    </row>
    <row r="102" spans="2:14" ht="14.4">
      <c r="B102" s="65"/>
      <c r="C102" s="84"/>
      <c r="D102" s="157"/>
      <c r="E102" s="157"/>
      <c r="F102" s="157"/>
      <c r="G102" s="157"/>
      <c r="H102" s="157"/>
      <c r="I102" s="134"/>
      <c r="J102" s="134"/>
      <c r="K102" s="134"/>
      <c r="L102" s="134"/>
      <c r="M102" s="134"/>
      <c r="N102" s="134"/>
    </row>
    <row r="103" spans="2:14" ht="14.4">
      <c r="B103" s="65"/>
      <c r="C103" s="84"/>
      <c r="D103" s="157"/>
      <c r="E103" s="157"/>
      <c r="F103" s="157"/>
      <c r="G103" s="157"/>
      <c r="H103" s="157"/>
      <c r="I103" s="134"/>
      <c r="J103" s="134"/>
      <c r="K103" s="134"/>
      <c r="L103" s="134"/>
      <c r="M103" s="134"/>
      <c r="N103" s="134"/>
    </row>
    <row r="104" spans="2:14" ht="14.4">
      <c r="B104" s="65"/>
      <c r="C104" s="84"/>
      <c r="D104" s="157"/>
      <c r="E104" s="157"/>
      <c r="F104" s="157"/>
      <c r="G104" s="157"/>
      <c r="H104" s="157"/>
      <c r="I104" s="134"/>
      <c r="J104" s="134"/>
      <c r="K104" s="134"/>
      <c r="L104" s="134"/>
      <c r="M104" s="134"/>
      <c r="N104" s="134"/>
    </row>
    <row r="105" spans="2:14" ht="14.4">
      <c r="B105" s="65"/>
      <c r="C105" s="84"/>
      <c r="D105" s="157"/>
      <c r="E105" s="157"/>
      <c r="F105" s="157"/>
      <c r="G105" s="157"/>
      <c r="H105" s="157"/>
      <c r="I105" s="134"/>
      <c r="J105" s="134"/>
      <c r="K105" s="134"/>
      <c r="L105" s="134"/>
      <c r="M105" s="134"/>
      <c r="N105" s="134"/>
    </row>
    <row r="106" spans="2:14" ht="14.4">
      <c r="B106" s="65"/>
      <c r="C106" s="84"/>
      <c r="D106" s="157"/>
      <c r="E106" s="157"/>
      <c r="F106" s="157"/>
      <c r="G106" s="157"/>
      <c r="H106" s="157"/>
      <c r="I106" s="134"/>
      <c r="J106" s="134"/>
      <c r="K106" s="134"/>
      <c r="L106" s="134"/>
      <c r="M106" s="134"/>
      <c r="N106" s="134"/>
    </row>
    <row r="107" spans="2:14" ht="14.4">
      <c r="B107" s="65"/>
      <c r="C107" s="84"/>
      <c r="D107" s="157"/>
      <c r="E107" s="157"/>
      <c r="F107" s="157"/>
      <c r="G107" s="157"/>
      <c r="H107" s="157"/>
      <c r="I107" s="134"/>
      <c r="J107" s="134"/>
      <c r="K107" s="134"/>
      <c r="L107" s="134"/>
      <c r="M107" s="134"/>
      <c r="N107" s="134"/>
    </row>
    <row r="108" spans="2:14" ht="14.4">
      <c r="B108" s="65"/>
      <c r="C108" s="84"/>
      <c r="D108" s="157"/>
      <c r="E108" s="157"/>
      <c r="F108" s="157"/>
      <c r="G108" s="157"/>
      <c r="H108" s="157"/>
      <c r="I108" s="134"/>
      <c r="J108" s="134"/>
      <c r="K108" s="134"/>
      <c r="L108" s="134"/>
      <c r="M108" s="134"/>
      <c r="N108" s="134"/>
    </row>
    <row r="109" spans="2:14" ht="14.4">
      <c r="B109" s="65"/>
      <c r="C109" s="84"/>
      <c r="D109" s="157"/>
      <c r="E109" s="157"/>
      <c r="F109" s="157"/>
      <c r="G109" s="157"/>
      <c r="H109" s="157"/>
      <c r="I109" s="134"/>
      <c r="J109" s="134"/>
      <c r="K109" s="134"/>
      <c r="L109" s="134"/>
      <c r="M109" s="134"/>
      <c r="N109" s="134"/>
    </row>
    <row r="110" spans="2:14" ht="14.4">
      <c r="B110" s="65"/>
      <c r="C110" s="84"/>
      <c r="D110" s="157"/>
      <c r="E110" s="157"/>
      <c r="F110" s="157"/>
      <c r="G110" s="157"/>
      <c r="H110" s="157"/>
      <c r="I110" s="134"/>
      <c r="J110" s="134"/>
      <c r="K110" s="134"/>
      <c r="L110" s="134"/>
      <c r="M110" s="134"/>
      <c r="N110" s="134"/>
    </row>
    <row r="111" spans="2:14" ht="14.4">
      <c r="B111" s="65"/>
      <c r="C111" s="84"/>
      <c r="D111" s="157"/>
      <c r="E111" s="157"/>
      <c r="F111" s="157"/>
      <c r="G111" s="157"/>
      <c r="H111" s="157"/>
      <c r="I111" s="134"/>
      <c r="J111" s="134"/>
      <c r="K111" s="134"/>
      <c r="L111" s="134"/>
      <c r="M111" s="134"/>
      <c r="N111" s="134"/>
    </row>
    <row r="112" spans="2:14" ht="14.4">
      <c r="B112" s="65"/>
      <c r="C112" s="84"/>
      <c r="D112" s="157"/>
      <c r="E112" s="157"/>
      <c r="F112" s="157"/>
      <c r="G112" s="157"/>
      <c r="H112" s="157"/>
      <c r="I112" s="134"/>
      <c r="J112" s="134"/>
      <c r="K112" s="134"/>
      <c r="L112" s="134"/>
      <c r="M112" s="134"/>
      <c r="N112" s="134"/>
    </row>
    <row r="113" spans="2:14" ht="14.4">
      <c r="B113" s="65"/>
      <c r="C113" s="84"/>
      <c r="D113" s="157"/>
      <c r="E113" s="157"/>
      <c r="F113" s="157"/>
      <c r="G113" s="157"/>
      <c r="H113" s="157"/>
      <c r="I113" s="134"/>
      <c r="J113" s="134"/>
      <c r="K113" s="134"/>
      <c r="L113" s="134"/>
      <c r="M113" s="134"/>
      <c r="N113" s="134"/>
    </row>
    <row r="114" spans="2:14" ht="14.4">
      <c r="B114" s="65"/>
      <c r="C114" s="84"/>
      <c r="D114" s="157"/>
      <c r="E114" s="157"/>
      <c r="F114" s="157"/>
      <c r="G114" s="157"/>
      <c r="H114" s="157"/>
      <c r="I114" s="134"/>
      <c r="J114" s="134"/>
      <c r="K114" s="134"/>
      <c r="L114" s="134"/>
      <c r="M114" s="134"/>
      <c r="N114" s="134"/>
    </row>
    <row r="115" spans="2:14" ht="14.4">
      <c r="B115" s="65"/>
      <c r="C115" s="84"/>
      <c r="D115" s="157"/>
      <c r="E115" s="157"/>
      <c r="F115" s="157"/>
      <c r="G115" s="157"/>
      <c r="H115" s="157"/>
      <c r="I115" s="134"/>
      <c r="J115" s="134"/>
      <c r="K115" s="134"/>
      <c r="L115" s="134"/>
      <c r="M115" s="134"/>
      <c r="N115" s="134"/>
    </row>
    <row r="116" spans="2:14" ht="14.4">
      <c r="B116" s="65"/>
      <c r="C116" s="84"/>
      <c r="D116" s="157"/>
      <c r="E116" s="157"/>
      <c r="F116" s="157"/>
      <c r="G116" s="157"/>
      <c r="H116" s="157"/>
      <c r="I116" s="134"/>
      <c r="J116" s="134"/>
      <c r="K116" s="134"/>
      <c r="L116" s="134"/>
      <c r="M116" s="134"/>
      <c r="N116" s="134"/>
    </row>
    <row r="117" spans="2:14" ht="14.4">
      <c r="B117" s="65"/>
      <c r="C117" s="84"/>
      <c r="D117" s="157"/>
      <c r="E117" s="157"/>
      <c r="F117" s="157"/>
      <c r="G117" s="157"/>
      <c r="H117" s="157"/>
      <c r="I117" s="134"/>
      <c r="J117" s="134"/>
      <c r="K117" s="134"/>
      <c r="L117" s="134"/>
      <c r="M117" s="134"/>
      <c r="N117" s="134"/>
    </row>
    <row r="118" spans="2:14" ht="14.4">
      <c r="B118" s="65"/>
      <c r="C118" s="84"/>
      <c r="D118" s="157"/>
      <c r="E118" s="157"/>
      <c r="F118" s="157"/>
      <c r="G118" s="157"/>
      <c r="H118" s="157"/>
      <c r="I118" s="134"/>
      <c r="J118" s="134"/>
      <c r="K118" s="134"/>
      <c r="L118" s="134"/>
      <c r="M118" s="134"/>
      <c r="N118" s="134"/>
    </row>
    <row r="119" spans="2:14" ht="14.4">
      <c r="B119" s="65"/>
      <c r="C119" s="84"/>
      <c r="D119" s="157"/>
      <c r="E119" s="157"/>
      <c r="F119" s="157"/>
      <c r="G119" s="157"/>
      <c r="H119" s="157"/>
      <c r="I119" s="134"/>
      <c r="J119" s="134"/>
      <c r="K119" s="134"/>
      <c r="L119" s="134"/>
      <c r="M119" s="134"/>
      <c r="N119" s="134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A2D39-50F1-4BE5-954A-FB967CD3847B}">
  <sheetPr>
    <tabColor rgb="FFFF0000"/>
  </sheetPr>
  <dimension ref="A1:O26"/>
  <sheetViews>
    <sheetView zoomScaleNormal="100" workbookViewId="0">
      <pane xSplit="3" ySplit="3" topLeftCell="D4" activePane="bottomRight" state="frozen"/>
      <selection pane="topRight" activeCell="E35" sqref="E35"/>
      <selection pane="bottomLeft" activeCell="E35" sqref="E35"/>
      <selection pane="bottomRight" activeCell="M6" sqref="M6"/>
    </sheetView>
  </sheetViews>
  <sheetFormatPr defaultRowHeight="20.25" customHeight="1"/>
  <cols>
    <col min="1" max="1" width="5.44140625" customWidth="1"/>
    <col min="2" max="2" width="39.44140625" bestFit="1" customWidth="1"/>
    <col min="3" max="3" width="6.109375" bestFit="1" customWidth="1"/>
    <col min="4" max="4" width="7" bestFit="1" customWidth="1"/>
    <col min="5" max="8" width="8.109375" bestFit="1" customWidth="1"/>
    <col min="9" max="9" width="8.44140625" bestFit="1" customWidth="1"/>
    <col min="10" max="14" width="8.109375" bestFit="1" customWidth="1"/>
  </cols>
  <sheetData>
    <row r="1" spans="1:15" s="7" customFormat="1" ht="14.4">
      <c r="B1" s="65"/>
      <c r="C1" s="66"/>
      <c r="D1" s="67"/>
      <c r="E1" s="67"/>
      <c r="F1" s="67"/>
      <c r="G1" s="67"/>
      <c r="H1" s="68"/>
      <c r="I1" s="67"/>
      <c r="J1" s="67"/>
      <c r="K1" s="67"/>
      <c r="L1" s="67"/>
      <c r="M1" s="67"/>
      <c r="N1" s="67"/>
    </row>
    <row r="2" spans="1:15" s="7" customFormat="1" ht="14.4">
      <c r="B2" s="69"/>
      <c r="C2" s="70"/>
      <c r="D2" s="71"/>
      <c r="E2" s="71"/>
      <c r="F2" s="71"/>
      <c r="G2" s="259">
        <v>45291</v>
      </c>
      <c r="H2" s="260">
        <f>DATE(YEAR(G2),MONTH(G2)+13,0)</f>
        <v>45657</v>
      </c>
      <c r="I2" s="259">
        <f t="shared" ref="I2:N2" si="0">DATE(YEAR(H2),MONTH(H2)+13,0)</f>
        <v>46022</v>
      </c>
      <c r="J2" s="259">
        <f t="shared" si="0"/>
        <v>46387</v>
      </c>
      <c r="K2" s="259">
        <f t="shared" si="0"/>
        <v>46752</v>
      </c>
      <c r="L2" s="259">
        <f t="shared" si="0"/>
        <v>47118</v>
      </c>
      <c r="M2" s="259">
        <f t="shared" si="0"/>
        <v>47483</v>
      </c>
      <c r="N2" s="259">
        <f t="shared" si="0"/>
        <v>47848</v>
      </c>
    </row>
    <row r="3" spans="1:15" s="7" customFormat="1" ht="15" thickBot="1">
      <c r="B3" s="69" t="s">
        <v>716</v>
      </c>
      <c r="C3" s="70" t="s">
        <v>671</v>
      </c>
      <c r="D3" s="71">
        <f>'IP_BS Raw'!E2</f>
        <v>2021</v>
      </c>
      <c r="E3" s="71">
        <f>D3+1</f>
        <v>2022</v>
      </c>
      <c r="F3" s="71">
        <f t="shared" ref="F3:N3" si="1">E3+1</f>
        <v>2023</v>
      </c>
      <c r="G3" s="71">
        <f t="shared" si="1"/>
        <v>2024</v>
      </c>
      <c r="H3" s="71">
        <f>G3+1</f>
        <v>2025</v>
      </c>
      <c r="I3" s="71">
        <f t="shared" si="1"/>
        <v>2026</v>
      </c>
      <c r="J3" s="71">
        <f t="shared" si="1"/>
        <v>2027</v>
      </c>
      <c r="K3" s="71">
        <f t="shared" si="1"/>
        <v>2028</v>
      </c>
      <c r="L3" s="71">
        <f t="shared" si="1"/>
        <v>2029</v>
      </c>
      <c r="M3" s="71">
        <f t="shared" si="1"/>
        <v>2030</v>
      </c>
      <c r="N3" s="71">
        <f t="shared" si="1"/>
        <v>2031</v>
      </c>
    </row>
    <row r="4" spans="1:15" s="9" customFormat="1" ht="14.4">
      <c r="A4" s="7"/>
      <c r="B4" s="72" t="s">
        <v>909</v>
      </c>
      <c r="C4" s="73" t="s">
        <v>983</v>
      </c>
      <c r="D4" s="74">
        <f>'IP_CF Raw'!E25</f>
        <v>-88400373518</v>
      </c>
      <c r="E4" s="74">
        <f>'IP_CF Raw'!F25</f>
        <v>-165318879753</v>
      </c>
      <c r="F4" s="74">
        <f>'IP_CF Raw'!G25</f>
        <v>-192469587749</v>
      </c>
      <c r="G4" s="75">
        <f>'IP_CF Raw'!H25</f>
        <v>357427851606</v>
      </c>
      <c r="H4" s="76">
        <f>'IP_CF Raw'!I25</f>
        <v>7365426858</v>
      </c>
      <c r="I4" s="77">
        <f t="shared" ref="I4:N4" si="2">I5+I6+I7+I8</f>
        <v>1196847464127.1143</v>
      </c>
      <c r="J4" s="77">
        <f t="shared" si="2"/>
        <v>463485227309.59326</v>
      </c>
      <c r="K4" s="77">
        <f t="shared" si="2"/>
        <v>496013507743.73511</v>
      </c>
      <c r="L4" s="77">
        <f t="shared" si="2"/>
        <v>596517505904.12537</v>
      </c>
      <c r="M4" s="77">
        <f t="shared" si="2"/>
        <v>587971901510.65466</v>
      </c>
      <c r="N4" s="77">
        <f t="shared" si="2"/>
        <v>620384685199.40466</v>
      </c>
    </row>
    <row r="5" spans="1:15" s="7" customFormat="1" ht="14.4">
      <c r="B5" s="65" t="s">
        <v>910</v>
      </c>
      <c r="C5" s="84" t="s">
        <v>983</v>
      </c>
      <c r="D5" s="85">
        <f>OD_IS!D21</f>
        <v>29990231362</v>
      </c>
      <c r="E5" s="85">
        <f>OD_IS!E21</f>
        <v>24890860314</v>
      </c>
      <c r="F5" s="85">
        <f>OD_IS!F21</f>
        <v>26518959327</v>
      </c>
      <c r="G5" s="86">
        <f>OD_IS!G21</f>
        <v>130504506272</v>
      </c>
      <c r="H5" s="87">
        <f>OD_IS!H21</f>
        <v>82353088777</v>
      </c>
      <c r="I5" s="88">
        <f>OD_IS!I21</f>
        <v>80780514835.351288</v>
      </c>
      <c r="J5" s="88">
        <f>OD_IS!J21</f>
        <v>109315947398.13472</v>
      </c>
      <c r="K5" s="88">
        <f>OD_IS!K21</f>
        <v>161307028232.35852</v>
      </c>
      <c r="L5" s="88">
        <f>OD_IS!L21</f>
        <v>227482315739.7746</v>
      </c>
      <c r="M5" s="88">
        <f>OD_IS!M21</f>
        <v>285354003744.9953</v>
      </c>
      <c r="N5" s="88">
        <f>OD_IS!N21</f>
        <v>301122711394.12439</v>
      </c>
    </row>
    <row r="6" spans="1:15" s="7" customFormat="1" ht="14.4">
      <c r="B6" s="65" t="s">
        <v>911</v>
      </c>
      <c r="C6" s="84" t="s">
        <v>983</v>
      </c>
      <c r="D6" s="85">
        <f>'IP_Notes Raw'!E160</f>
        <v>200434357266</v>
      </c>
      <c r="E6" s="85">
        <f>'IP_Notes Raw'!F160</f>
        <v>201526522056</v>
      </c>
      <c r="F6" s="85">
        <f>'IP_Notes Raw'!G160</f>
        <v>193367525445</v>
      </c>
      <c r="G6" s="86">
        <f>'IP_Notes Raw'!H160</f>
        <v>254230428893</v>
      </c>
      <c r="H6" s="87">
        <f>'IP_Notes Raw'!I160</f>
        <v>0</v>
      </c>
      <c r="I6" s="88">
        <f>PD_Operation!I11*1000000000</f>
        <v>250000000000</v>
      </c>
      <c r="J6" s="88">
        <f>PD_Operation!J11*1000000000</f>
        <v>262500000000</v>
      </c>
      <c r="K6" s="88">
        <f>PD_Operation!K11*1000000000</f>
        <v>275625000000</v>
      </c>
      <c r="L6" s="88">
        <f>PD_Operation!L11*1000000000</f>
        <v>289406250000</v>
      </c>
      <c r="M6" s="88">
        <f>PD_Operation!M11*1000000000</f>
        <v>303876562500.00006</v>
      </c>
      <c r="N6" s="88">
        <f>PD_Operation!N11*1000000000</f>
        <v>319070390625.00006</v>
      </c>
    </row>
    <row r="7" spans="1:15" s="7" customFormat="1" ht="14.4">
      <c r="B7" s="65" t="s">
        <v>912</v>
      </c>
      <c r="C7" s="84"/>
      <c r="D7" s="85"/>
      <c r="E7" s="85">
        <f>OD_BS!E36</f>
        <v>477164295394</v>
      </c>
      <c r="F7" s="85">
        <f>OD_BS!F36</f>
        <v>-326219812855</v>
      </c>
      <c r="G7" s="86">
        <f>OD_BS!G36</f>
        <v>-30542466378</v>
      </c>
      <c r="H7" s="87">
        <f>OD_BS!H36</f>
        <v>-359136449754</v>
      </c>
      <c r="I7" s="88">
        <f>OD_BS!I36</f>
        <v>866066949291.76294</v>
      </c>
      <c r="J7" s="88">
        <f>OD_BS!J36</f>
        <v>91669279911.458588</v>
      </c>
      <c r="K7" s="88">
        <f>OD_BS!K36</f>
        <v>59081479511.376572</v>
      </c>
      <c r="L7" s="88">
        <f>OD_BS!L36</f>
        <v>79628940164.350815</v>
      </c>
      <c r="M7" s="88">
        <f>OD_BS!M36</f>
        <v>-1258664734.3406677</v>
      </c>
      <c r="N7" s="88">
        <f>OD_BS!N36</f>
        <v>191583180.28020477</v>
      </c>
    </row>
    <row r="8" spans="1:15" s="7" customFormat="1" ht="14.4">
      <c r="B8" s="65" t="s">
        <v>913</v>
      </c>
      <c r="C8" s="84"/>
      <c r="D8" s="85"/>
      <c r="E8" s="85">
        <f t="shared" ref="E8:G8" si="3">E4-SUM(E5:E7)</f>
        <v>-868900557517</v>
      </c>
      <c r="F8" s="85">
        <f t="shared" si="3"/>
        <v>-86136259666</v>
      </c>
      <c r="G8" s="86">
        <f t="shared" si="3"/>
        <v>3235382819</v>
      </c>
      <c r="H8" s="87">
        <f>H4-SUM(H5:H7)</f>
        <v>284148787835</v>
      </c>
      <c r="I8" s="88">
        <v>0</v>
      </c>
      <c r="J8" s="88">
        <v>0</v>
      </c>
      <c r="K8" s="88">
        <v>0</v>
      </c>
      <c r="L8" s="88">
        <v>0</v>
      </c>
      <c r="M8" s="88">
        <v>0</v>
      </c>
      <c r="N8" s="88">
        <v>0</v>
      </c>
    </row>
    <row r="9" spans="1:15" s="9" customFormat="1" ht="14.4">
      <c r="A9" s="7"/>
      <c r="B9" s="89" t="s">
        <v>914</v>
      </c>
      <c r="C9" s="90" t="s">
        <v>983</v>
      </c>
      <c r="D9" s="91">
        <f t="shared" ref="D9:G9" si="4">SUM(D10:D13)</f>
        <v>11187918086</v>
      </c>
      <c r="E9" s="91">
        <f t="shared" si="4"/>
        <v>293110077155</v>
      </c>
      <c r="F9" s="91">
        <f>SUM(F10:F13)</f>
        <v>-397144764339</v>
      </c>
      <c r="G9" s="92">
        <f t="shared" si="4"/>
        <v>-613628111128</v>
      </c>
      <c r="H9" s="93">
        <f>SUM(H10:H13)</f>
        <v>-192800335481</v>
      </c>
      <c r="I9" s="94">
        <f t="shared" ref="I9:N9" si="5">SUM(I10:I13)</f>
        <v>-127846920084.15601</v>
      </c>
      <c r="J9" s="94">
        <f t="shared" si="5"/>
        <v>-129977702085.55859</v>
      </c>
      <c r="K9" s="94">
        <f t="shared" si="5"/>
        <v>-119579485918.71391</v>
      </c>
      <c r="L9" s="94">
        <f t="shared" si="5"/>
        <v>-132733229369.77245</v>
      </c>
      <c r="M9" s="94">
        <f t="shared" si="5"/>
        <v>-143351887719.35425</v>
      </c>
      <c r="N9" s="94">
        <f t="shared" si="5"/>
        <v>-150519482105.32196</v>
      </c>
    </row>
    <row r="10" spans="1:15" s="7" customFormat="1" ht="14.4">
      <c r="B10" s="65" t="s">
        <v>915</v>
      </c>
      <c r="C10" s="84" t="s">
        <v>983</v>
      </c>
      <c r="D10" s="85">
        <f>'IP_CF Raw'!E27</f>
        <v>-2911894836</v>
      </c>
      <c r="E10" s="85">
        <f>'IP_CF Raw'!F27</f>
        <v>-262090909</v>
      </c>
      <c r="F10" s="85">
        <f>'IP_CF Raw'!G27</f>
        <v>-85145283539</v>
      </c>
      <c r="G10" s="86">
        <f>'IP_CF Raw'!H27</f>
        <v>-552939817718</v>
      </c>
      <c r="H10" s="87">
        <f>'IP_CF Raw'!I27</f>
        <v>-98219383903</v>
      </c>
      <c r="I10" s="88">
        <f>-PD_Operation!I21*OD_IS!I4</f>
        <v>-127846920084.15601</v>
      </c>
      <c r="J10" s="88">
        <f>-PD_Operation!J21*OD_IS!J4</f>
        <v>-129977702085.55859</v>
      </c>
      <c r="K10" s="88">
        <f>-PD_Operation!K21*OD_IS!K4</f>
        <v>-119579485918.71391</v>
      </c>
      <c r="L10" s="88">
        <f>-PD_Operation!L21*OD_IS!L4</f>
        <v>-132733229369.77245</v>
      </c>
      <c r="M10" s="88">
        <f>-PD_Operation!M21*OD_IS!M4</f>
        <v>-143351887719.35425</v>
      </c>
      <c r="N10" s="88">
        <f>-PD_Operation!N21*OD_IS!N4</f>
        <v>-150519482105.32196</v>
      </c>
      <c r="O10" s="31"/>
    </row>
    <row r="11" spans="1:15" s="7" customFormat="1" ht="14.4">
      <c r="B11" s="65" t="s">
        <v>916</v>
      </c>
      <c r="C11" s="84" t="s">
        <v>983</v>
      </c>
      <c r="D11" s="85">
        <f>'IP_CF Raw'!E28</f>
        <v>386363636</v>
      </c>
      <c r="E11" s="85">
        <f>'IP_CF Raw'!F28</f>
        <v>9922527548</v>
      </c>
      <c r="F11" s="85">
        <f>'IP_CF Raw'!G28</f>
        <v>1818413608</v>
      </c>
      <c r="G11" s="86">
        <f>'IP_CF Raw'!H28</f>
        <v>0</v>
      </c>
      <c r="H11" s="87">
        <f>'IP_CF Raw'!I28</f>
        <v>5000000000</v>
      </c>
      <c r="I11" s="88">
        <v>0</v>
      </c>
      <c r="J11" s="88">
        <v>0</v>
      </c>
      <c r="K11" s="88">
        <v>0</v>
      </c>
      <c r="L11" s="88">
        <v>0</v>
      </c>
      <c r="M11" s="88">
        <v>0</v>
      </c>
      <c r="N11" s="88">
        <v>0</v>
      </c>
    </row>
    <row r="12" spans="1:15" s="7" customFormat="1" ht="14.4">
      <c r="B12" s="65" t="s">
        <v>917</v>
      </c>
      <c r="C12" s="84" t="s">
        <v>983</v>
      </c>
      <c r="D12" s="85">
        <f>'IP_CF Raw'!E29</f>
        <v>-1360000000</v>
      </c>
      <c r="E12" s="85">
        <f>'IP_CF Raw'!F29</f>
        <v>-201466970449</v>
      </c>
      <c r="F12" s="85">
        <f>'IP_CF Raw'!G29</f>
        <v>-146568497700</v>
      </c>
      <c r="G12" s="86">
        <f>'IP_CF Raw'!H29</f>
        <v>-235919838301</v>
      </c>
      <c r="H12" s="87">
        <f>'IP_CF Raw'!I29</f>
        <v>-824373768000</v>
      </c>
      <c r="I12" s="88">
        <v>0</v>
      </c>
      <c r="J12" s="88">
        <v>0</v>
      </c>
      <c r="K12" s="88">
        <v>0</v>
      </c>
      <c r="L12" s="88">
        <v>0</v>
      </c>
      <c r="M12" s="88">
        <v>0</v>
      </c>
      <c r="N12" s="88">
        <v>0</v>
      </c>
    </row>
    <row r="13" spans="1:15" s="7" customFormat="1" ht="14.4">
      <c r="B13" s="65" t="s">
        <v>918</v>
      </c>
      <c r="C13" s="84" t="s">
        <v>983</v>
      </c>
      <c r="D13" s="85">
        <f>SUM('IP_CF Raw'!E30:E33)</f>
        <v>15073449286</v>
      </c>
      <c r="E13" s="85">
        <f>SUM('IP_CF Raw'!F30:F33)</f>
        <v>484916610965</v>
      </c>
      <c r="F13" s="85">
        <f>SUM('IP_CF Raw'!G30:G33)</f>
        <v>-167249396708</v>
      </c>
      <c r="G13" s="86">
        <f>SUM('IP_CF Raw'!H30:H33)</f>
        <v>175231544891</v>
      </c>
      <c r="H13" s="87">
        <f>SUM('IP_CF Raw'!I30:I33)</f>
        <v>724792816422</v>
      </c>
      <c r="I13" s="88">
        <v>0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</row>
    <row r="14" spans="1:15" ht="14.4">
      <c r="B14" s="89" t="s">
        <v>919</v>
      </c>
      <c r="C14" s="90" t="s">
        <v>983</v>
      </c>
      <c r="D14" s="91">
        <f>'IP_CF Raw'!E34</f>
        <v>45121186034</v>
      </c>
      <c r="E14" s="91">
        <f>'IP_CF Raw'!F34</f>
        <v>-105639409412</v>
      </c>
      <c r="F14" s="91">
        <f>'IP_CF Raw'!G34</f>
        <v>571602677581</v>
      </c>
      <c r="G14" s="92">
        <f>'IP_CF Raw'!H34</f>
        <v>383974994343</v>
      </c>
      <c r="H14" s="93">
        <f>'IP_CF Raw'!I34</f>
        <v>337710824236</v>
      </c>
      <c r="I14" s="94">
        <f t="shared" ref="I14:N14" si="6">SUM(I15:I20)</f>
        <v>1190990809273.0417</v>
      </c>
      <c r="J14" s="94">
        <f t="shared" si="6"/>
        <v>-333507525224.03467</v>
      </c>
      <c r="K14" s="94">
        <f t="shared" si="6"/>
        <v>-376434021825.021</v>
      </c>
      <c r="L14" s="94">
        <f t="shared" si="6"/>
        <v>-463784276534.35321</v>
      </c>
      <c r="M14" s="94">
        <f t="shared" si="6"/>
        <v>-90881669236.97757</v>
      </c>
      <c r="N14" s="94">
        <f t="shared" si="6"/>
        <v>-60224542278.824883</v>
      </c>
    </row>
    <row r="15" spans="1:15" ht="14.4">
      <c r="B15" s="65" t="s">
        <v>920</v>
      </c>
      <c r="C15" s="84" t="s">
        <v>983</v>
      </c>
      <c r="D15" s="85">
        <f>'IP_CF Raw'!E40</f>
        <v>0</v>
      </c>
      <c r="E15" s="85">
        <f>'IP_CF Raw'!F40</f>
        <v>0</v>
      </c>
      <c r="F15" s="85">
        <f>'IP_CF Raw'!G40</f>
        <v>0</v>
      </c>
      <c r="G15" s="86">
        <f>'IP_CF Raw'!H40</f>
        <v>0</v>
      </c>
      <c r="H15" s="87">
        <f>'IP_CF Raw'!I40</f>
        <v>-1283438400</v>
      </c>
      <c r="I15" s="88">
        <f>-OD_IS!I21*PD_Operation!I26</f>
        <v>0</v>
      </c>
      <c r="J15" s="88">
        <f>-OD_IS!J21*PD_Operation!J26</f>
        <v>0</v>
      </c>
      <c r="K15" s="88">
        <f>-OD_IS!K21*PD_Operation!K26</f>
        <v>-8065351411.6179266</v>
      </c>
      <c r="L15" s="88">
        <f>-OD_IS!L21*PD_Operation!L26</f>
        <v>-22748231573.977463</v>
      </c>
      <c r="M15" s="88">
        <f>-OD_IS!M21*PD_Operation!M26</f>
        <v>-42803100561.74929</v>
      </c>
      <c r="N15" s="88">
        <f>-OD_IS!N21*PD_Operation!N26</f>
        <v>-60224542278.824883</v>
      </c>
    </row>
    <row r="16" spans="1:15" ht="14.4">
      <c r="B16" s="65" t="s">
        <v>921</v>
      </c>
      <c r="C16" s="84" t="s">
        <v>983</v>
      </c>
      <c r="D16" s="85">
        <f>'IP_CF Raw'!E35</f>
        <v>0</v>
      </c>
      <c r="E16" s="85">
        <f>'IP_CF Raw'!F35</f>
        <v>0</v>
      </c>
      <c r="F16" s="85">
        <f>'IP_CF Raw'!G35</f>
        <v>450000000000</v>
      </c>
      <c r="G16" s="86">
        <f>'IP_CF Raw'!H35</f>
        <v>1767608500</v>
      </c>
      <c r="H16" s="87">
        <f>'IP_CF Raw'!I35</f>
        <v>548175451265</v>
      </c>
      <c r="I16" s="88">
        <v>0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</row>
    <row r="17" spans="2:15" ht="14.4">
      <c r="B17" s="65" t="s">
        <v>922</v>
      </c>
      <c r="C17" s="84" t="s">
        <v>983</v>
      </c>
      <c r="D17" s="85">
        <f>'IP_CF Raw'!E36</f>
        <v>0</v>
      </c>
      <c r="E17" s="85">
        <f>'IP_CF Raw'!F36</f>
        <v>0</v>
      </c>
      <c r="F17" s="85">
        <f>'IP_CF Raw'!G36</f>
        <v>0</v>
      </c>
      <c r="G17" s="86">
        <f>'IP_CF Raw'!H36</f>
        <v>0</v>
      </c>
      <c r="H17" s="87">
        <f>'IP_CF Raw'!I36</f>
        <v>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</row>
    <row r="18" spans="2:15" ht="14.4">
      <c r="B18" s="65" t="s">
        <v>923</v>
      </c>
      <c r="C18" s="84"/>
      <c r="D18" s="85"/>
      <c r="E18" s="85">
        <f>'IP_BS Raw'!F83-'IP_BS Raw'!E83</f>
        <v>-36478409412</v>
      </c>
      <c r="F18" s="85">
        <f>'IP_BS Raw'!G83-'IP_BS Raw'!F83</f>
        <v>77034883512</v>
      </c>
      <c r="G18" s="86">
        <f>'IP_BS Raw'!H83-'IP_BS Raw'!G83</f>
        <v>356011405533</v>
      </c>
      <c r="H18" s="87">
        <f>'IP_BS Raw'!I83-'IP_BS Raw'!H83</f>
        <v>-223092838964</v>
      </c>
      <c r="I18" s="88">
        <f>OD_BS!I21-OD_BS!H21</f>
        <v>1190990809273.0417</v>
      </c>
      <c r="J18" s="88">
        <f>OD_BS!J21-OD_BS!I21</f>
        <v>-333507525224.03467</v>
      </c>
      <c r="K18" s="88">
        <f>OD_BS!K21-OD_BS!J21</f>
        <v>-368368670413.40308</v>
      </c>
      <c r="L18" s="88">
        <f>OD_BS!L21-OD_BS!K21</f>
        <v>-441036044960.37573</v>
      </c>
      <c r="M18" s="88">
        <f>OD_BS!M21-OD_BS!L21</f>
        <v>-48078568675.228271</v>
      </c>
      <c r="N18" s="88">
        <f>OD_BS!N21-OD_BS!M21</f>
        <v>0</v>
      </c>
      <c r="O18" s="55"/>
    </row>
    <row r="19" spans="2:15" ht="14.4">
      <c r="B19" s="65" t="s">
        <v>924</v>
      </c>
      <c r="C19" s="84"/>
      <c r="D19" s="85"/>
      <c r="E19" s="85">
        <f>'IP_BS Raw'!F96-'IP_BS Raw'!E96</f>
        <v>-70000000000</v>
      </c>
      <c r="F19" s="85">
        <f>'IP_BS Raw'!G96-'IP_BS Raw'!F96</f>
        <v>38014432856</v>
      </c>
      <c r="G19" s="86">
        <f>'IP_BS Raw'!H96-'IP_BS Raw'!G96</f>
        <v>10991627937</v>
      </c>
      <c r="H19" s="87">
        <f>'IP_BS Raw'!I96-'IP_BS Raw'!H96</f>
        <v>-13139258756</v>
      </c>
      <c r="I19" s="88">
        <f>OD_BS!I24-OD_BS!H24</f>
        <v>0</v>
      </c>
      <c r="J19" s="88">
        <f>OD_BS!J24-OD_BS!I24</f>
        <v>0</v>
      </c>
      <c r="K19" s="88">
        <f>OD_BS!K24-OD_BS!J24</f>
        <v>0</v>
      </c>
      <c r="L19" s="88">
        <f>OD_BS!L24-OD_BS!K24</f>
        <v>0</v>
      </c>
      <c r="M19" s="88">
        <f>OD_BS!M24-OD_BS!L24</f>
        <v>0</v>
      </c>
      <c r="N19" s="88">
        <f>OD_BS!N24-OD_BS!M24</f>
        <v>0</v>
      </c>
    </row>
    <row r="20" spans="2:15" ht="14.4">
      <c r="B20" s="65" t="s">
        <v>925</v>
      </c>
      <c r="C20" s="84"/>
      <c r="D20" s="85"/>
      <c r="E20" s="85">
        <f t="shared" ref="E20:G20" si="7">E14-E15-E16-E17-E18-E19</f>
        <v>839000000</v>
      </c>
      <c r="F20" s="85">
        <f t="shared" si="7"/>
        <v>6553361213</v>
      </c>
      <c r="G20" s="86">
        <f t="shared" si="7"/>
        <v>15204352373</v>
      </c>
      <c r="H20" s="87">
        <f>H14-H15-H16-H17-H18-H19</f>
        <v>27050909091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56"/>
    </row>
    <row r="21" spans="2:15" ht="14.4">
      <c r="B21" s="65"/>
      <c r="C21" s="84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8"/>
    </row>
    <row r="22" spans="2:15" ht="14.4">
      <c r="B22" s="78" t="s">
        <v>926</v>
      </c>
      <c r="C22" s="79"/>
      <c r="D22" s="80"/>
      <c r="E22" s="80"/>
      <c r="F22" s="80"/>
      <c r="G22" s="81"/>
      <c r="H22" s="82">
        <f>G24</f>
        <v>0</v>
      </c>
      <c r="I22" s="83">
        <f t="shared" ref="I22:N22" si="8">H24</f>
        <v>288524181242</v>
      </c>
      <c r="J22" s="83">
        <f t="shared" si="8"/>
        <v>288524181242</v>
      </c>
      <c r="K22" s="83">
        <f t="shared" si="8"/>
        <v>288524181242</v>
      </c>
      <c r="L22" s="83">
        <f t="shared" si="8"/>
        <v>288524181242</v>
      </c>
      <c r="M22" s="83">
        <f t="shared" si="8"/>
        <v>288524181242</v>
      </c>
      <c r="N22" s="83">
        <f t="shared" si="8"/>
        <v>288524181242</v>
      </c>
      <c r="O22" s="58"/>
    </row>
    <row r="23" spans="2:15" s="4" customFormat="1" ht="14.4">
      <c r="B23" s="78" t="s">
        <v>927</v>
      </c>
      <c r="C23" s="79" t="s">
        <v>983</v>
      </c>
      <c r="D23" s="80"/>
      <c r="E23" s="80"/>
      <c r="F23" s="80"/>
      <c r="G23" s="81"/>
      <c r="H23" s="82">
        <f>H4+H9+H14</f>
        <v>152275915613</v>
      </c>
      <c r="I23" s="83">
        <f t="shared" ref="I23:N23" si="9">I4+I9+I14</f>
        <v>2259991353316</v>
      </c>
      <c r="J23" s="83">
        <f t="shared" si="9"/>
        <v>0</v>
      </c>
      <c r="K23" s="83">
        <f t="shared" si="9"/>
        <v>0</v>
      </c>
      <c r="L23" s="83">
        <f t="shared" si="9"/>
        <v>0</v>
      </c>
      <c r="M23" s="83">
        <f t="shared" si="9"/>
        <v>353738344554.32288</v>
      </c>
      <c r="N23" s="83">
        <f t="shared" si="9"/>
        <v>409640660815.25781</v>
      </c>
    </row>
    <row r="24" spans="2:15" ht="14.4">
      <c r="B24" s="158" t="s">
        <v>928</v>
      </c>
      <c r="C24" s="159"/>
      <c r="D24" s="160"/>
      <c r="E24" s="160"/>
      <c r="F24" s="160"/>
      <c r="G24" s="161"/>
      <c r="H24" s="162">
        <f>OD_BS!H6</f>
        <v>288524181242</v>
      </c>
      <c r="I24" s="163">
        <f>OD_BS!I6</f>
        <v>288524181242</v>
      </c>
      <c r="J24" s="163">
        <f>OD_BS!J6</f>
        <v>288524181242</v>
      </c>
      <c r="K24" s="163">
        <f>OD_BS!K6</f>
        <v>288524181242</v>
      </c>
      <c r="L24" s="163">
        <f>OD_BS!L6</f>
        <v>288524181242</v>
      </c>
      <c r="M24" s="163">
        <f>OD_BS!M6</f>
        <v>288524181242</v>
      </c>
      <c r="N24" s="163">
        <f>OD_BS!N6</f>
        <v>288524181242</v>
      </c>
    </row>
    <row r="26" spans="2:15" ht="20.25" customHeight="1">
      <c r="D26" s="52"/>
      <c r="E26" s="52"/>
      <c r="F26" s="52"/>
      <c r="G26" s="52"/>
      <c r="J26" s="58"/>
    </row>
  </sheetData>
  <pageMargins left="0.7" right="0.7" top="0.75" bottom="0.75" header="0.3" footer="0.3"/>
  <ignoredErrors>
    <ignoredError sqref="D13:G1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81CE4-0820-4CDB-B968-67F938C17E5F}">
  <sheetPr>
    <tabColor rgb="FFFF0000"/>
  </sheetPr>
  <dimension ref="A1:AO82"/>
  <sheetViews>
    <sheetView zoomScaleNormal="100" workbookViewId="0">
      <selection activeCell="Y38" sqref="Y38"/>
    </sheetView>
  </sheetViews>
  <sheetFormatPr defaultRowHeight="21.75" customHeight="1"/>
  <cols>
    <col min="2" max="2" width="31.77734375" bestFit="1" customWidth="1"/>
    <col min="3" max="3" width="4.33203125" bestFit="1" customWidth="1"/>
    <col min="4" max="5" width="6.77734375" bestFit="1" customWidth="1"/>
    <col min="6" max="10" width="7.77734375" bestFit="1" customWidth="1"/>
    <col min="11" max="11" width="6.88671875" bestFit="1" customWidth="1"/>
    <col min="12" max="13" width="6.77734375" bestFit="1" customWidth="1"/>
    <col min="14" max="14" width="4.77734375" bestFit="1" customWidth="1"/>
    <col min="16" max="16" width="18.21875" bestFit="1" customWidth="1"/>
    <col min="17" max="18" width="6.77734375" bestFit="1" customWidth="1"/>
    <col min="19" max="23" width="7.77734375" bestFit="1" customWidth="1"/>
    <col min="24" max="26" width="6.77734375" bestFit="1" customWidth="1"/>
    <col min="32" max="41" width="11.77734375" bestFit="1" customWidth="1"/>
  </cols>
  <sheetData>
    <row r="1" spans="1:41" s="7" customFormat="1" ht="18">
      <c r="A1" s="67"/>
      <c r="B1" s="164" t="s">
        <v>1055</v>
      </c>
      <c r="C1" s="261"/>
      <c r="D1" s="164"/>
      <c r="E1" s="164"/>
      <c r="F1" s="164"/>
      <c r="G1" s="262"/>
      <c r="H1" s="262"/>
      <c r="I1" s="164"/>
      <c r="J1" s="164"/>
      <c r="K1" s="164"/>
      <c r="L1" s="164"/>
      <c r="M1" s="164"/>
      <c r="N1" s="164"/>
      <c r="O1" s="171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</row>
    <row r="2" spans="1:41" s="7" customFormat="1" ht="14.4">
      <c r="A2" s="67"/>
      <c r="B2" s="69"/>
      <c r="C2" s="70"/>
      <c r="D2" s="71"/>
      <c r="E2" s="71"/>
      <c r="F2" s="259">
        <v>45291</v>
      </c>
      <c r="G2" s="260">
        <f>DATE(YEAR(F2),MONTH(F2)+13,0)</f>
        <v>45657</v>
      </c>
      <c r="H2" s="260">
        <f>DATE(YEAR(G2),MONTH(G2)+13,0)</f>
        <v>46022</v>
      </c>
      <c r="I2" s="259">
        <f t="shared" ref="I2:M2" si="0">DATE(YEAR(H2),MONTH(H2)+13,0)</f>
        <v>46387</v>
      </c>
      <c r="J2" s="259">
        <f t="shared" si="0"/>
        <v>46752</v>
      </c>
      <c r="K2" s="259">
        <f t="shared" si="0"/>
        <v>47118</v>
      </c>
      <c r="L2" s="259">
        <f t="shared" si="0"/>
        <v>47483</v>
      </c>
      <c r="M2" s="259">
        <f t="shared" si="0"/>
        <v>47848</v>
      </c>
      <c r="N2" s="71"/>
      <c r="O2" s="71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</row>
    <row r="3" spans="1:41" s="7" customFormat="1" ht="15" thickBot="1">
      <c r="A3" s="172"/>
      <c r="B3" s="135" t="s">
        <v>716</v>
      </c>
      <c r="C3" s="136" t="s">
        <v>671</v>
      </c>
      <c r="D3" s="137">
        <f>'IP_BS Raw'!E2</f>
        <v>2021</v>
      </c>
      <c r="E3" s="137">
        <f>D3+1</f>
        <v>2022</v>
      </c>
      <c r="F3" s="137">
        <f t="shared" ref="F3:N3" si="1">E3+1</f>
        <v>2023</v>
      </c>
      <c r="G3" s="137">
        <f t="shared" si="1"/>
        <v>2024</v>
      </c>
      <c r="H3" s="137">
        <f>G3+1</f>
        <v>2025</v>
      </c>
      <c r="I3" s="137">
        <f t="shared" si="1"/>
        <v>2026</v>
      </c>
      <c r="J3" s="137">
        <f t="shared" si="1"/>
        <v>2027</v>
      </c>
      <c r="K3" s="137">
        <f t="shared" si="1"/>
        <v>2028</v>
      </c>
      <c r="L3" s="137">
        <f t="shared" si="1"/>
        <v>2029</v>
      </c>
      <c r="M3" s="137">
        <f t="shared" si="1"/>
        <v>2030</v>
      </c>
      <c r="N3" s="137">
        <f t="shared" si="1"/>
        <v>2031</v>
      </c>
      <c r="O3" s="71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  <row r="4" spans="1:41" s="7" customFormat="1" ht="14.4">
      <c r="A4" s="67"/>
      <c r="B4" s="107" t="s">
        <v>929</v>
      </c>
      <c r="C4" s="391"/>
      <c r="D4" s="630"/>
      <c r="E4" s="630"/>
      <c r="F4" s="631"/>
      <c r="G4" s="632"/>
      <c r="H4" s="632"/>
      <c r="I4" s="633"/>
      <c r="J4" s="633"/>
      <c r="K4" s="633"/>
      <c r="L4" s="633"/>
      <c r="M4" s="633"/>
      <c r="N4" s="107"/>
      <c r="O4" s="107"/>
      <c r="P4" s="270"/>
      <c r="Q4" s="270"/>
      <c r="R4" s="270"/>
      <c r="S4" s="270"/>
      <c r="T4" s="270"/>
      <c r="U4" s="270"/>
      <c r="V4" s="270"/>
      <c r="W4" s="270"/>
      <c r="X4" s="270"/>
      <c r="Y4" s="270"/>
      <c r="Z4" s="270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</row>
    <row r="5" spans="1:41" s="7" customFormat="1" ht="14.4">
      <c r="A5" s="67"/>
      <c r="B5" s="65" t="s">
        <v>930</v>
      </c>
      <c r="C5" s="84"/>
      <c r="D5" s="173">
        <f>-OD_IS!E5/((OD_BS!D9+OD_BS!E9)/2)</f>
        <v>9.0687952298841505</v>
      </c>
      <c r="E5" s="173">
        <f>-OD_IS!F5/((OD_BS!E9+OD_BS!F9)/2)</f>
        <v>13.271420575212989</v>
      </c>
      <c r="F5" s="174">
        <f>-OD_IS!G5/((OD_BS!F9+OD_BS!G9)/2)</f>
        <v>24.444802190245341</v>
      </c>
      <c r="G5" s="175">
        <f>-OD_IS!H5/((OD_BS!G9+OD_BS!H9)/2)</f>
        <v>20.539755661982717</v>
      </c>
      <c r="H5" s="175">
        <f>-OD_IS!I5/((OD_BS!H9+OD_BS!I9)/2)</f>
        <v>18.01774552757929</v>
      </c>
      <c r="I5" s="176">
        <f>-OD_IS!J5/((OD_BS!I9+OD_BS!J9)/2)</f>
        <v>18.781786257644256</v>
      </c>
      <c r="J5" s="176">
        <f>-OD_IS!K5/((OD_BS!J9+OD_BS!K9)/2)</f>
        <v>18.175032666289553</v>
      </c>
      <c r="K5" s="176">
        <f>-OD_IS!L5/((OD_BS!K9+OD_BS!L9)/2)</f>
        <v>17.866850296787398</v>
      </c>
      <c r="L5" s="176">
        <f>-OD_IS!M5/((OD_BS!L9+OD_BS!M9)/2)</f>
        <v>17.733283858306816</v>
      </c>
      <c r="M5" s="176">
        <f>-OD_IS!N5/((OD_BS!M9+OD_BS!N9)/2)</f>
        <v>17.596823779769206</v>
      </c>
      <c r="N5" s="171"/>
      <c r="O5" s="171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</row>
    <row r="6" spans="1:41" s="7" customFormat="1" ht="14.4">
      <c r="A6" s="67"/>
      <c r="B6" s="65" t="s">
        <v>931</v>
      </c>
      <c r="C6" s="84"/>
      <c r="D6" s="125">
        <f t="shared" ref="D6:F6" si="2">365/D5</f>
        <v>40.247904021167614</v>
      </c>
      <c r="E6" s="125">
        <f t="shared" si="2"/>
        <v>27.502707636416098</v>
      </c>
      <c r="F6" s="126">
        <f t="shared" si="2"/>
        <v>14.931599657028629</v>
      </c>
      <c r="G6" s="127">
        <f t="shared" ref="G6:M6" si="3">365/G5</f>
        <v>17.770415870894848</v>
      </c>
      <c r="H6" s="127">
        <f t="shared" si="3"/>
        <v>20.25780636324917</v>
      </c>
      <c r="I6" s="177">
        <f t="shared" si="3"/>
        <v>19.433721318782641</v>
      </c>
      <c r="J6" s="177">
        <f t="shared" si="3"/>
        <v>20.082494854437861</v>
      </c>
      <c r="K6" s="177">
        <f t="shared" si="3"/>
        <v>20.428894513412356</v>
      </c>
      <c r="L6" s="177">
        <f t="shared" si="3"/>
        <v>20.582764191699486</v>
      </c>
      <c r="M6" s="177">
        <f t="shared" si="3"/>
        <v>20.742379679884891</v>
      </c>
      <c r="N6" s="171"/>
      <c r="O6" s="171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</row>
    <row r="7" spans="1:41" s="7" customFormat="1" ht="14.4">
      <c r="A7" s="67"/>
      <c r="B7" s="65" t="s">
        <v>932</v>
      </c>
      <c r="C7" s="84"/>
      <c r="D7" s="173">
        <f>OD_IS!E4/((OD_BS!D8+OD_BS!E8)/2)</f>
        <v>0.39244578796654589</v>
      </c>
      <c r="E7" s="173">
        <f>OD_IS!F4/((OD_BS!E8+OD_BS!F8)/2)</f>
        <v>0.59373917193015713</v>
      </c>
      <c r="F7" s="174">
        <f>OD_IS!G4/((OD_BS!F8+OD_BS!G8)/2)</f>
        <v>1.0538501873086534</v>
      </c>
      <c r="G7" s="175">
        <f>OD_IS!H4/((OD_BS!G8+OD_BS!H8)/2)</f>
        <v>1.3618398724241343</v>
      </c>
      <c r="H7" s="175">
        <f>OD_IS!I4/((OD_BS!H8+OD_BS!I8)/2)</f>
        <v>2.1246936740475495</v>
      </c>
      <c r="I7" s="176">
        <f>OD_IS!J4/((OD_BS!I8+OD_BS!J8)/2)</f>
        <v>3.6801652892561987</v>
      </c>
      <c r="J7" s="176">
        <f>OD_IS!K4/((OD_BS!J8+OD_BS!K8)/2)</f>
        <v>4.125307125307125</v>
      </c>
      <c r="K7" s="176">
        <f>OD_IS!L4/((OD_BS!K8+OD_BS!L8)/2)</f>
        <v>4.5318791946308723</v>
      </c>
      <c r="L7" s="176">
        <f>OD_IS!M4/((OD_BS!L8+OD_BS!M8)/2)</f>
        <v>4.7379807692307701</v>
      </c>
      <c r="M7" s="176">
        <f>OD_IS!N4/((OD_BS!M8+OD_BS!N8)/2)</f>
        <v>4.6737804878048781</v>
      </c>
      <c r="N7" s="171"/>
      <c r="O7" s="171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</row>
    <row r="8" spans="1:41" ht="14.4">
      <c r="A8" s="167"/>
      <c r="B8" s="65" t="s">
        <v>933</v>
      </c>
      <c r="C8" s="84"/>
      <c r="D8" s="125">
        <f t="shared" ref="D8:F8" si="4">365/D7</f>
        <v>930.06476612029405</v>
      </c>
      <c r="E8" s="125">
        <f t="shared" si="4"/>
        <v>614.74805311133446</v>
      </c>
      <c r="F8" s="126">
        <f t="shared" si="4"/>
        <v>346.34903935648128</v>
      </c>
      <c r="G8" s="127">
        <f t="shared" ref="G8:M8" si="5">365/G7</f>
        <v>268.0197631093618</v>
      </c>
      <c r="H8" s="127">
        <f t="shared" si="5"/>
        <v>171.78946991670267</v>
      </c>
      <c r="I8" s="177">
        <f t="shared" si="5"/>
        <v>99.180327868852444</v>
      </c>
      <c r="J8" s="177">
        <f t="shared" si="5"/>
        <v>88.478260869565219</v>
      </c>
      <c r="K8" s="177">
        <f t="shared" si="5"/>
        <v>80.540540540540547</v>
      </c>
      <c r="L8" s="177">
        <f t="shared" si="5"/>
        <v>77.037037037037024</v>
      </c>
      <c r="M8" s="177">
        <f t="shared" si="5"/>
        <v>78.095238095238088</v>
      </c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</row>
    <row r="9" spans="1:41" ht="14.4">
      <c r="A9" s="167"/>
      <c r="B9" s="65" t="s">
        <v>934</v>
      </c>
      <c r="C9" s="84"/>
      <c r="D9" s="173">
        <f>-OD_IS!E5/((OD_BS!D20+OD_BS!E20)/2)</f>
        <v>2.4590835486917095</v>
      </c>
      <c r="E9" s="173">
        <f>-OD_IS!F5/((OD_BS!E20+OD_BS!F20)/2)</f>
        <v>3.2699822134528169</v>
      </c>
      <c r="F9" s="174">
        <f>-OD_IS!G5/((OD_BS!F20+OD_BS!G20)/2)</f>
        <v>7.2557028480875552</v>
      </c>
      <c r="G9" s="175">
        <f>-OD_IS!H5/((OD_BS!G20+OD_BS!H20)/2)</f>
        <v>9.9344692562734718</v>
      </c>
      <c r="H9" s="175">
        <f>-OD_IS!I5/((OD_BS!H20+OD_BS!I20)/2)</f>
        <v>10.803497227734427</v>
      </c>
      <c r="I9" s="176">
        <f>-OD_IS!J5/((OD_BS!I20+OD_BS!J20)/2)</f>
        <v>10.443059309621038</v>
      </c>
      <c r="J9" s="176">
        <f>-OD_IS!K5/((OD_BS!J20+OD_BS!K20)/2)</f>
        <v>10.105691838075895</v>
      </c>
      <c r="K9" s="176">
        <f>-OD_IS!L5/((OD_BS!K20+OD_BS!L20)/2)</f>
        <v>9.9343361044549425</v>
      </c>
      <c r="L9" s="176">
        <f>-OD_IS!M5/((OD_BS!L20+OD_BS!M20)/2)</f>
        <v>9.860070418556198</v>
      </c>
      <c r="M9" s="176">
        <f>-OD_IS!N5/((OD_BS!M20+OD_BS!N20)/2)</f>
        <v>9.7841958092929939</v>
      </c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</row>
    <row r="10" spans="1:41" ht="14.4">
      <c r="A10" s="167"/>
      <c r="B10" s="65" t="s">
        <v>935</v>
      </c>
      <c r="C10" s="84"/>
      <c r="D10" s="125">
        <f t="shared" ref="D10:F10" si="6">365/D9</f>
        <v>148.42927975919673</v>
      </c>
      <c r="E10" s="125">
        <f t="shared" si="6"/>
        <v>111.62140225056201</v>
      </c>
      <c r="F10" s="126">
        <f t="shared" si="6"/>
        <v>50.305257483939826</v>
      </c>
      <c r="G10" s="127">
        <f t="shared" ref="G10:M10" si="7">365/G9</f>
        <v>36.740764965325937</v>
      </c>
      <c r="H10" s="127">
        <f t="shared" si="7"/>
        <v>33.785356010735349</v>
      </c>
      <c r="I10" s="177">
        <f t="shared" si="7"/>
        <v>34.951443746348431</v>
      </c>
      <c r="J10" s="177">
        <f t="shared" si="7"/>
        <v>36.118259476779706</v>
      </c>
      <c r="K10" s="177">
        <f t="shared" si="7"/>
        <v>36.741257408869004</v>
      </c>
      <c r="L10" s="177">
        <f t="shared" si="7"/>
        <v>37.017991201471219</v>
      </c>
      <c r="M10" s="177">
        <f t="shared" si="7"/>
        <v>37.305058802413207</v>
      </c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</row>
    <row r="11" spans="1:41" ht="14.4">
      <c r="A11" s="167"/>
      <c r="B11" s="65" t="s">
        <v>936</v>
      </c>
      <c r="C11" s="84"/>
      <c r="D11" s="173">
        <f>OD_IS!E4/(OD_BS!E5-OD_BS!E19)</f>
        <v>1.0210019161876827</v>
      </c>
      <c r="E11" s="173">
        <f>OD_IS!F4/(OD_BS!F5-OD_BS!F19)</f>
        <v>0.76373752269866657</v>
      </c>
      <c r="F11" s="174">
        <f>OD_IS!G4/(OD_BS!G5-OD_BS!G19)</f>
        <v>2.9974565532823294</v>
      </c>
      <c r="G11" s="175">
        <f>OD_IS!H4/(OD_BS!H5-OD_BS!H19)</f>
        <v>1.3216020486342379</v>
      </c>
      <c r="H11" s="175">
        <f>OD_IS!I4/(OD_BS!I5-OD_BS!I19)</f>
        <v>-2.6085399730700209</v>
      </c>
      <c r="I11" s="176">
        <f>OD_IS!J4/(OD_BS!J5-OD_BS!J19)</f>
        <v>-4.5208828121418163</v>
      </c>
      <c r="J11" s="176">
        <f>OD_IS!K4/(OD_BS!K5-OD_BS!K19)</f>
        <v>-11.250385814825828</v>
      </c>
      <c r="K11" s="176">
        <f>OD_IS!L4/(OD_BS!L5-OD_BS!L19)</f>
        <v>34.680090785259289</v>
      </c>
      <c r="L11" s="176">
        <f>OD_IS!M4/(OD_BS!M5-OD_BS!M19)</f>
        <v>24.712219361104605</v>
      </c>
      <c r="M11" s="176">
        <f>OD_IS!N4/(OD_BS!N5-OD_BS!N19)</f>
        <v>25.982154564079458</v>
      </c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</row>
    <row r="12" spans="1:41" ht="14.4">
      <c r="A12" s="167"/>
      <c r="B12" s="65" t="s">
        <v>937</v>
      </c>
      <c r="C12" s="84"/>
      <c r="D12" s="173">
        <f>OD_IS!E4/((OD_BS!D12+OD_BS!E12)/2)</f>
        <v>2.8193553359782202</v>
      </c>
      <c r="E12" s="173">
        <f>OD_IS!F4/((OD_BS!E12+OD_BS!F12)/2)</f>
        <v>2.695481918895688</v>
      </c>
      <c r="F12" s="174">
        <f>OD_IS!G4/((OD_BS!F12+OD_BS!G12)/2)</f>
        <v>2.6130793310255864</v>
      </c>
      <c r="G12" s="175">
        <f>OD_IS!H4/((OD_BS!G12+OD_BS!H12)/2)</f>
        <v>2.5723583837939263</v>
      </c>
      <c r="H12" s="175">
        <f>OD_IS!I4/((OD_BS!H12+OD_BS!I12)/2)</f>
        <v>2.9853361415679855</v>
      </c>
      <c r="I12" s="176">
        <f>OD_IS!J4/((OD_BS!I12+OD_BS!J12)/2)</f>
        <v>3.0849318082209791</v>
      </c>
      <c r="J12" s="176">
        <f>OD_IS!K4/((OD_BS!J12+OD_BS!K12)/2)</f>
        <v>3.090099726487018</v>
      </c>
      <c r="K12" s="176">
        <f>OD_IS!L4/((OD_BS!K12+OD_BS!L12)/2)</f>
        <v>3.0343276673886503</v>
      </c>
      <c r="L12" s="176">
        <f>OD_IS!M4/((OD_BS!L12+OD_BS!M12)/2)</f>
        <v>2.9097782959429237</v>
      </c>
      <c r="M12" s="176">
        <f>OD_IS!N4/((OD_BS!M12+OD_BS!N12)/2)</f>
        <v>2.7296209473958424</v>
      </c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</row>
    <row r="13" spans="1:41" ht="14.4">
      <c r="A13" s="167"/>
      <c r="B13" s="65" t="s">
        <v>938</v>
      </c>
      <c r="C13" s="84"/>
      <c r="D13" s="173">
        <f>OD_IS!E4/((OD_BS!D4+OD_BS!E4)/2)</f>
        <v>0.23265025256815655</v>
      </c>
      <c r="E13" s="173">
        <f>OD_IS!F4/((OD_BS!E4+OD_BS!F4)/2)</f>
        <v>0.2570380781992786</v>
      </c>
      <c r="F13" s="174">
        <f>OD_IS!G4/((OD_BS!F4+OD_BS!G4)/2)</f>
        <v>0.4360832601115151</v>
      </c>
      <c r="G13" s="175">
        <f>OD_IS!H4/((OD_BS!G4+OD_BS!H4)/2)</f>
        <v>0.55741277754832119</v>
      </c>
      <c r="H13" s="175">
        <f>OD_IS!I4/((OD_BS!H4+OD_BS!I4)/2)</f>
        <v>0.78386421733571088</v>
      </c>
      <c r="I13" s="176">
        <f>OD_IS!J4/((OD_BS!I4+OD_BS!J4)/2)</f>
        <v>1.1180930568606662</v>
      </c>
      <c r="J13" s="176">
        <f>OD_IS!K4/((OD_BS!J4+OD_BS!K4)/2)</f>
        <v>1.3433926980292401</v>
      </c>
      <c r="K13" s="176">
        <f>OD_IS!L4/((OD_BS!K4+OD_BS!L4)/2)</f>
        <v>1.5826748417463274</v>
      </c>
      <c r="L13" s="176">
        <f>OD_IS!M4/((OD_BS!L4+OD_BS!M4)/2)</f>
        <v>1.8112671456811018</v>
      </c>
      <c r="M13" s="176">
        <f>OD_IS!N4/((OD_BS!M4+OD_BS!N4)/2)</f>
        <v>2.0058103840559767</v>
      </c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</row>
    <row r="14" spans="1:41" s="7" customFormat="1" ht="14.4">
      <c r="A14" s="67"/>
      <c r="B14" s="107" t="s">
        <v>939</v>
      </c>
      <c r="C14" s="391"/>
      <c r="D14" s="630"/>
      <c r="E14" s="630"/>
      <c r="F14" s="631"/>
      <c r="G14" s="632"/>
      <c r="H14" s="632"/>
      <c r="I14" s="633"/>
      <c r="J14" s="633"/>
      <c r="K14" s="633"/>
      <c r="L14" s="633"/>
      <c r="M14" s="633"/>
      <c r="N14" s="107"/>
      <c r="O14" s="107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</row>
    <row r="15" spans="1:41" ht="14.4">
      <c r="A15" s="167"/>
      <c r="B15" s="65" t="s">
        <v>940</v>
      </c>
      <c r="C15" s="84"/>
      <c r="D15" s="173">
        <f>OD_BS!E5/OD_BS!E19</f>
        <v>1.9751722713258983</v>
      </c>
      <c r="E15" s="173">
        <f>OD_BS!F5/OD_BS!F19</f>
        <v>2.3191014701531469</v>
      </c>
      <c r="F15" s="174">
        <f>OD_BS!G5/OD_BS!G19</f>
        <v>1.3554799233291694</v>
      </c>
      <c r="G15" s="175">
        <f>OD_BS!H5/OD_BS!H19</f>
        <v>2.9663193734630378</v>
      </c>
      <c r="H15" s="175">
        <f>OD_BS!I5/OD_BS!I19</f>
        <v>0.6136149011113412</v>
      </c>
      <c r="I15" s="176">
        <f>OD_BS!J5/OD_BS!J19</f>
        <v>0.6995749608665397</v>
      </c>
      <c r="J15" s="176">
        <f>OD_BS!K5/OD_BS!K19</f>
        <v>0.83916974033614167</v>
      </c>
      <c r="K15" s="176">
        <f>OD_BS!L5/OD_BS!L19</f>
        <v>1.073677888795415</v>
      </c>
      <c r="L15" s="176">
        <f>OD_BS!M5/OD_BS!M19</f>
        <v>1.1096522604167827</v>
      </c>
      <c r="M15" s="176">
        <f>OD_BS!N5/OD_BS!N19</f>
        <v>1.1054479869907039</v>
      </c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</row>
    <row r="16" spans="1:41" ht="14.4">
      <c r="A16" s="167"/>
      <c r="B16" s="65" t="s">
        <v>941</v>
      </c>
      <c r="C16" s="84"/>
      <c r="D16" s="173">
        <f>(OD_BS!E5-OD_BS!E9-OD_BS!E10)/OD_BS!E19</f>
        <v>1.7997699754156447</v>
      </c>
      <c r="E16" s="173">
        <f>(OD_BS!F5-OD_BS!F9-OD_BS!F10)/OD_BS!F19</f>
        <v>2.0901550074856186</v>
      </c>
      <c r="F16" s="174">
        <f>(OD_BS!G5-OD_BS!G9-OD_BS!G10)/OD_BS!G19</f>
        <v>1.2870361150337239</v>
      </c>
      <c r="G16" s="175">
        <f>(OD_BS!H5-OD_BS!H9-OD_BS!H10)/OD_BS!H19</f>
        <v>2.7877769943615753</v>
      </c>
      <c r="H16" s="175">
        <f>(OD_BS!I5-OD_BS!I9-OD_BS!I10)/OD_BS!I19</f>
        <v>0.54570117977346966</v>
      </c>
      <c r="I16" s="176">
        <f>(OD_BS!J5-OD_BS!J9-OD_BS!J10)/OD_BS!J19</f>
        <v>0.60884919885243227</v>
      </c>
      <c r="J16" s="176">
        <f>(OD_BS!K5-OD_BS!K9-OD_BS!K10)/OD_BS!K19</f>
        <v>0.72040977538833384</v>
      </c>
      <c r="K16" s="176">
        <f>(OD_BS!L5-OD_BS!L9-OD_BS!L10)/OD_BS!L19</f>
        <v>0.90894541022754149</v>
      </c>
      <c r="L16" s="176">
        <f>(OD_BS!M5-OD_BS!M9-OD_BS!M10)/OD_BS!M19</f>
        <v>0.93653042465944702</v>
      </c>
      <c r="M16" s="176">
        <f>(OD_BS!N5-OD_BS!N9-OD_BS!N10)/OD_BS!N19</f>
        <v>0.93040852698059673</v>
      </c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</row>
    <row r="17" spans="1:41" ht="14.4">
      <c r="A17" s="167"/>
      <c r="B17" s="65" t="s">
        <v>942</v>
      </c>
      <c r="C17" s="84"/>
      <c r="D17" s="173">
        <f>(OD_BS!E5-OD_BS!E9-OD_BS!E10-OD_BS!E8)/OD_BS!E19</f>
        <v>8.4067712570240899E-2</v>
      </c>
      <c r="E17" s="173">
        <f>(OD_BS!F5-OD_BS!F9-OD_BS!F10-OD_BS!F8)/OD_BS!F19</f>
        <v>2.1269790505787659E-2</v>
      </c>
      <c r="F17" s="174">
        <f>(OD_BS!G5-OD_BS!G9-OD_BS!G10-OD_BS!G8)/OD_BS!G19</f>
        <v>0.14274995803134624</v>
      </c>
      <c r="G17" s="175">
        <f>(OD_BS!H5-OD_BS!H9-OD_BS!H10-OD_BS!H8)/OD_BS!H19</f>
        <v>0.71841655773466917</v>
      </c>
      <c r="H17" s="175">
        <f>(OD_BS!I5-OD_BS!I9-OD_BS!I10-OD_BS!I8)/OD_BS!I19</f>
        <v>0.21433647551604085</v>
      </c>
      <c r="I17" s="176">
        <f>(OD_BS!J5-OD_BS!J9-OD_BS!J10-OD_BS!J8)/OD_BS!J19</f>
        <v>0.23674333700161215</v>
      </c>
      <c r="J17" s="176">
        <f>(OD_BS!K5-OD_BS!K9-OD_BS!K10-OD_BS!K8)/OD_BS!K19</f>
        <v>0.27425574121701218</v>
      </c>
      <c r="K17" s="176">
        <f>(OD_BS!L5-OD_BS!L9-OD_BS!L10-OD_BS!L8)/OD_BS!L19</f>
        <v>0.34891124643768251</v>
      </c>
      <c r="L17" s="176">
        <f>(OD_BS!M5-OD_BS!M9-OD_BS!M10-OD_BS!M8)/OD_BS!M19</f>
        <v>0.3426124601968713</v>
      </c>
      <c r="M17" s="176">
        <f>(OD_BS!N5-OD_BS!N9-OD_BS!N10-OD_BS!N8)/OD_BS!N19</f>
        <v>0.32991189213927985</v>
      </c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</row>
    <row r="18" spans="1:41" ht="14.4">
      <c r="A18" s="167"/>
      <c r="B18" s="65" t="s">
        <v>943</v>
      </c>
      <c r="C18" s="84"/>
      <c r="D18" s="125">
        <f t="shared" ref="D18:F18" si="8">D6+D8-D10</f>
        <v>821.88339038226491</v>
      </c>
      <c r="E18" s="125">
        <f t="shared" si="8"/>
        <v>530.62935849718849</v>
      </c>
      <c r="F18" s="126">
        <f t="shared" si="8"/>
        <v>310.97538152957009</v>
      </c>
      <c r="G18" s="127">
        <f t="shared" ref="G18:M18" si="9">G6+G8-G10</f>
        <v>249.04941401493073</v>
      </c>
      <c r="H18" s="127">
        <f t="shared" si="9"/>
        <v>158.26192026921649</v>
      </c>
      <c r="I18" s="177">
        <f t="shared" si="9"/>
        <v>83.662605441286658</v>
      </c>
      <c r="J18" s="177">
        <f t="shared" si="9"/>
        <v>72.442496247223374</v>
      </c>
      <c r="K18" s="177">
        <f t="shared" si="9"/>
        <v>64.228177645083903</v>
      </c>
      <c r="L18" s="177">
        <f t="shared" si="9"/>
        <v>60.601810027265287</v>
      </c>
      <c r="M18" s="177">
        <f t="shared" si="9"/>
        <v>61.532558972709772</v>
      </c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</row>
    <row r="19" spans="1:41" s="7" customFormat="1" ht="14.4">
      <c r="A19" s="67"/>
      <c r="B19" s="107" t="s">
        <v>944</v>
      </c>
      <c r="C19" s="391"/>
      <c r="D19" s="630"/>
      <c r="E19" s="630"/>
      <c r="F19" s="631"/>
      <c r="G19" s="632"/>
      <c r="H19" s="632"/>
      <c r="I19" s="633"/>
      <c r="J19" s="633"/>
      <c r="K19" s="633"/>
      <c r="L19" s="633"/>
      <c r="M19" s="633"/>
      <c r="N19" s="107"/>
      <c r="O19" s="107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</row>
    <row r="20" spans="1:41" ht="14.4">
      <c r="A20" s="167"/>
      <c r="B20" s="65" t="s">
        <v>945</v>
      </c>
      <c r="C20" s="84"/>
      <c r="D20" s="129">
        <f>(OD_BS!E21+OD_BS!E24)/OD_BS!E4</f>
        <v>7.2654516987199089E-2</v>
      </c>
      <c r="E20" s="129">
        <f>(OD_BS!F21+OD_BS!F24)/OD_BS!F4</f>
        <v>0.11123322107585394</v>
      </c>
      <c r="F20" s="130">
        <f>(OD_BS!G21+OD_BS!G24)/OD_BS!G4</f>
        <v>0.20512431833246916</v>
      </c>
      <c r="G20" s="131">
        <f>(OD_BS!H21+OD_BS!H24)/OD_BS!H4</f>
        <v>0.11125636259658357</v>
      </c>
      <c r="H20" s="131">
        <f>(OD_BS!I21+OD_BS!I24)/OD_BS!I4</f>
        <v>0.64636538889711614</v>
      </c>
      <c r="I20" s="178">
        <f>(OD_BS!J21+OD_BS!J24)/OD_BS!J4</f>
        <v>0.52580285865359866</v>
      </c>
      <c r="J20" s="178">
        <f>(OD_BS!K21+OD_BS!K24)/OD_BS!K4</f>
        <v>0.38241979087720529</v>
      </c>
      <c r="K20" s="178">
        <f>(OD_BS!L21+OD_BS!L24)/OD_BS!L4</f>
        <v>0.19246529628604303</v>
      </c>
      <c r="L20" s="178">
        <f>(OD_BS!M21+OD_BS!M24)/OD_BS!M4</f>
        <v>0.17630262139120184</v>
      </c>
      <c r="M20" s="178">
        <f>(OD_BS!N21+OD_BS!N24)/OD_BS!N4</f>
        <v>0.18773462660371312</v>
      </c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</row>
    <row r="21" spans="1:41" ht="14.4">
      <c r="A21" s="167"/>
      <c r="B21" s="65" t="s">
        <v>946</v>
      </c>
      <c r="C21" s="84"/>
      <c r="D21" s="129">
        <f>(OD_BS!E21+OD_BS!E24)/(OD_BS!E21+OD_BS!E24+OD_BS!E26)</f>
        <v>0.14205253983830102</v>
      </c>
      <c r="E21" s="129">
        <f>(OD_BS!F21+OD_BS!F24)/(OD_BS!F21+OD_BS!F24+OD_BS!F26)</f>
        <v>0.33781977041745564</v>
      </c>
      <c r="F21" s="130">
        <f>(OD_BS!G21+OD_BS!G24)/(OD_BS!G21+OD_BS!G24+OD_BS!G26)</f>
        <v>0.75941025354487401</v>
      </c>
      <c r="G21" s="131">
        <f>(OD_BS!H21+OD_BS!H24)/(OD_BS!H21+OD_BS!H24+OD_BS!H26)</f>
        <v>0.72313222166088642</v>
      </c>
      <c r="H21" s="131">
        <f>(OD_BS!I21+OD_BS!I24)/(OD_BS!I21+OD_BS!I24+OD_BS!I26)</f>
        <v>0.87875514928744392</v>
      </c>
      <c r="I21" s="178">
        <f>(OD_BS!J21+OD_BS!J24)/(OD_BS!J21+OD_BS!J24+OD_BS!J26)</f>
        <v>0.78891423871265154</v>
      </c>
      <c r="J21" s="178">
        <f>(OD_BS!K21+OD_BS!K24)/(OD_BS!K21+OD_BS!K24+OD_BS!K26)</f>
        <v>0.63659756078644825</v>
      </c>
      <c r="K21" s="178">
        <f>(OD_BS!L21+OD_BS!L24)/(OD_BS!L21+OD_BS!L24+OD_BS!L26)</f>
        <v>0.36446869637197005</v>
      </c>
      <c r="L21" s="178">
        <f>(OD_BS!M21+OD_BS!M24)/(OD_BS!M21+OD_BS!M24+OD_BS!M26)</f>
        <v>0.27023539254397427</v>
      </c>
      <c r="M21" s="178">
        <f>(OD_BS!N21+OD_BS!N24)/(OD_BS!N21+OD_BS!N24+OD_BS!N26)</f>
        <v>0.22693037800610824</v>
      </c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</row>
    <row r="22" spans="1:41" ht="14.4">
      <c r="A22" s="167"/>
      <c r="B22" s="65" t="s">
        <v>947</v>
      </c>
      <c r="C22" s="84"/>
      <c r="D22" s="129">
        <f>(OD_BS!E21+OD_BS!E24)/(OD_BS!E26)</f>
        <v>0.16557253961860102</v>
      </c>
      <c r="E22" s="129">
        <f>(OD_BS!F21+OD_BS!F24)/(OD_BS!F26)</f>
        <v>0.51016287609556987</v>
      </c>
      <c r="F22" s="130">
        <f>(OD_BS!G21+OD_BS!G24)/(OD_BS!G26)</f>
        <v>3.1564531104675191</v>
      </c>
      <c r="G22" s="131">
        <f>(OD_BS!H21+OD_BS!H24)/(OD_BS!H26)</f>
        <v>2.6118323554977882</v>
      </c>
      <c r="H22" s="131">
        <f>(OD_BS!I21+OD_BS!I24)/(OD_BS!I26)</f>
        <v>7.2477729497211616</v>
      </c>
      <c r="I22" s="178">
        <f>(OD_BS!J21+OD_BS!J24)/(OD_BS!J26)</f>
        <v>3.7374109646302132</v>
      </c>
      <c r="J22" s="178">
        <f>(OD_BS!K21+OD_BS!K24)/(OD_BS!K26)</f>
        <v>1.7517701921982824</v>
      </c>
      <c r="K22" s="178">
        <f>(OD_BS!L21+OD_BS!L24)/(OD_BS!L26)</f>
        <v>0.57348661551577929</v>
      </c>
      <c r="L22" s="178">
        <f>(OD_BS!M21+OD_BS!M24)/(OD_BS!M26)</f>
        <v>0.37030487609699286</v>
      </c>
      <c r="M22" s="178">
        <f>(OD_BS!N21+OD_BS!N24)/(OD_BS!N26)</f>
        <v>0.2935445547851333</v>
      </c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</row>
    <row r="23" spans="1:41" ht="14.4">
      <c r="A23" s="167"/>
      <c r="B23" s="65" t="s">
        <v>948</v>
      </c>
      <c r="C23" s="84"/>
      <c r="D23" s="173">
        <f>((OD_BS!E4+OD_BS!D4)/2)/OD_BS!E26</f>
        <v>2.3453749413966087</v>
      </c>
      <c r="E23" s="173">
        <f>((OD_BS!F4+OD_BS!E4)/2)/OD_BS!F26</f>
        <v>3.8840011103523278</v>
      </c>
      <c r="F23" s="174">
        <f>((OD_BS!G4+OD_BS!F4)/2)/OD_BS!G26</f>
        <v>12.863617251111906</v>
      </c>
      <c r="G23" s="175">
        <f>((OD_BS!H4+OD_BS!G4)/2)/OD_BS!H26</f>
        <v>22.513025871979504</v>
      </c>
      <c r="H23" s="175">
        <f>((OD_BS!I4+OD_BS!H4)/2)/OD_BS!I26</f>
        <v>12.859007923803654</v>
      </c>
      <c r="I23" s="176">
        <f>((OD_BS!J4+OD_BS!I4)/2)/OD_BS!J26</f>
        <v>7.2495282791680875</v>
      </c>
      <c r="J23" s="176">
        <f>((OD_BS!K4+OD_BS!J4)/2)/OD_BS!K26</f>
        <v>4.695269845010805</v>
      </c>
      <c r="K23" s="176">
        <f>((OD_BS!L4+OD_BS!K4)/2)/OD_BS!L26</f>
        <v>3.0892984823435583</v>
      </c>
      <c r="L23" s="176">
        <f>((OD_BS!M4+OD_BS!L4)/2)/OD_BS!M26</f>
        <v>2.1477818668366315</v>
      </c>
      <c r="M23" s="176">
        <f>((OD_BS!N4+OD_BS!M4)/2)/OD_BS!N26</f>
        <v>1.6143091287075861</v>
      </c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</row>
    <row r="24" spans="1:41" s="7" customFormat="1" ht="14.4">
      <c r="A24" s="67"/>
      <c r="B24" s="107" t="s">
        <v>1054</v>
      </c>
      <c r="C24" s="391"/>
      <c r="D24" s="630"/>
      <c r="E24" s="630"/>
      <c r="F24" s="631"/>
      <c r="G24" s="632"/>
      <c r="H24" s="632"/>
      <c r="I24" s="633"/>
      <c r="J24" s="633"/>
      <c r="K24" s="633"/>
      <c r="L24" s="633"/>
      <c r="M24" s="633"/>
      <c r="N24" s="107"/>
      <c r="O24" s="107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</row>
    <row r="25" spans="1:41" ht="14.4">
      <c r="A25" s="167"/>
      <c r="B25" s="65" t="s">
        <v>949</v>
      </c>
      <c r="C25" s="84"/>
      <c r="D25" s="147">
        <f>OD_IS!E6/OD_IS!E4</f>
        <v>0.33260299713185093</v>
      </c>
      <c r="E25" s="147">
        <f>OD_IS!F6/OD_IS!F4</f>
        <v>0.27980355990095329</v>
      </c>
      <c r="F25" s="148">
        <f>OD_IS!G6/OD_IS!G4</f>
        <v>0.16650620666232679</v>
      </c>
      <c r="G25" s="179">
        <f>OD_IS!H6/OD_IS!H4</f>
        <v>0.13119367490427822</v>
      </c>
      <c r="H25" s="179">
        <f>OD_IS!I6/OD_IS!I4</f>
        <v>0.13000000000000006</v>
      </c>
      <c r="I25" s="149">
        <f>OD_IS!J6/OD_IS!J4</f>
        <v>0.13999999999999996</v>
      </c>
      <c r="J25" s="149">
        <f>OD_IS!K6/OD_IS!K4</f>
        <v>0.16000000000000011</v>
      </c>
      <c r="K25" s="149">
        <f>OD_IS!L6/OD_IS!L4</f>
        <v>0.18000000000000002</v>
      </c>
      <c r="L25" s="149">
        <f>OD_IS!M6/OD_IS!M4</f>
        <v>0.19</v>
      </c>
      <c r="M25" s="149">
        <f>OD_IS!N6/OD_IS!N4</f>
        <v>0.19</v>
      </c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</row>
    <row r="26" spans="1:41" ht="14.4">
      <c r="A26" s="167"/>
      <c r="B26" s="65" t="s">
        <v>950</v>
      </c>
      <c r="C26" s="84"/>
      <c r="D26" s="147">
        <f>OD_IS!E9/OD_IS!E4</f>
        <v>-3.0447306313951858E-2</v>
      </c>
      <c r="E26" s="147">
        <f>OD_IS!F9/OD_IS!F4</f>
        <v>8.2651451873303666E-2</v>
      </c>
      <c r="F26" s="148">
        <f>OD_IS!G9/OD_IS!G4</f>
        <v>-6.843302102767122E-3</v>
      </c>
      <c r="G26" s="179">
        <f>OD_IS!H9/OD_IS!H4</f>
        <v>4.8423025224111089E-3</v>
      </c>
      <c r="H26" s="179">
        <f>OD_IS!I9/OD_IS!I4</f>
        <v>5.0000000000000573E-3</v>
      </c>
      <c r="I26" s="149">
        <f>OD_IS!J9/OD_IS!J4</f>
        <v>1.699999999999996E-2</v>
      </c>
      <c r="J26" s="149">
        <f>OD_IS!K9/OD_IS!K4</f>
        <v>4.0000000000000112E-2</v>
      </c>
      <c r="K26" s="149">
        <f>OD_IS!L9/OD_IS!L4</f>
        <v>6.2000000000000013E-2</v>
      </c>
      <c r="L26" s="149">
        <f>OD_IS!M9/OD_IS!M4</f>
        <v>7.4999999999999997E-2</v>
      </c>
      <c r="M26" s="149">
        <f>OD_IS!N9/OD_IS!N4</f>
        <v>7.5000000000000025E-2</v>
      </c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</row>
    <row r="27" spans="1:41" ht="14.4">
      <c r="A27" s="167"/>
      <c r="B27" s="65" t="s">
        <v>951</v>
      </c>
      <c r="C27" s="84"/>
      <c r="D27" s="147">
        <f>OD_IS!E16/OD_IS!E4</f>
        <v>9.2049573305213878E-2</v>
      </c>
      <c r="E27" s="147">
        <f>OD_IS!F16/OD_IS!F4</f>
        <v>7.0260995044878594E-2</v>
      </c>
      <c r="F27" s="148">
        <f>OD_IS!G16/OD_IS!G4</f>
        <v>0.11553781547626597</v>
      </c>
      <c r="G27" s="179">
        <f>OD_IS!H16/OD_IS!H4</f>
        <v>6.078557037380744E-2</v>
      </c>
      <c r="H27" s="179">
        <f>OD_IS!I16/OD_IS!I4</f>
        <v>4.7389007170945359E-2</v>
      </c>
      <c r="I27" s="149">
        <f>OD_IS!J16/OD_IS!J4</f>
        <v>5.2564759976184629E-2</v>
      </c>
      <c r="J27" s="149">
        <f>OD_IS!K16/OD_IS!K4</f>
        <v>6.7447617370595486E-2</v>
      </c>
      <c r="K27" s="149">
        <f>OD_IS!L16/OD_IS!L4</f>
        <v>8.5691547180716574E-2</v>
      </c>
      <c r="L27" s="149">
        <f>OD_IS!M16/OD_IS!M4</f>
        <v>9.9529210352515315E-2</v>
      </c>
      <c r="M27" s="149">
        <f>OD_IS!N16/OD_IS!N4</f>
        <v>0.10002781938334797</v>
      </c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</row>
    <row r="28" spans="1:41" ht="14.4">
      <c r="A28" s="167"/>
      <c r="B28" s="65" t="s">
        <v>952</v>
      </c>
      <c r="C28" s="84"/>
      <c r="D28" s="147">
        <f>OD_IS!E21/OD_IS!E4</f>
        <v>7.9238886688122095E-2</v>
      </c>
      <c r="E28" s="147">
        <f>OD_IS!F21/OD_IS!F4</f>
        <v>6.4418506179559396E-2</v>
      </c>
      <c r="F28" s="148">
        <f>OD_IS!G21/OD_IS!G4</f>
        <v>0.12718561443007245</v>
      </c>
      <c r="G28" s="179">
        <f>OD_IS!H21/OD_IS!H4</f>
        <v>5.0244002126743965E-2</v>
      </c>
      <c r="H28" s="179">
        <f>OD_IS!I21/OD_IS!I4</f>
        <v>3.7911205736756284E-2</v>
      </c>
      <c r="I28" s="149">
        <f>OD_IS!J21/OD_IS!J4</f>
        <v>4.2051807980947702E-2</v>
      </c>
      <c r="J28" s="149">
        <f>OD_IS!K21/OD_IS!K4</f>
        <v>5.3958093896476385E-2</v>
      </c>
      <c r="K28" s="149">
        <f>OD_IS!L21/OD_IS!L4</f>
        <v>6.8553237744573253E-2</v>
      </c>
      <c r="L28" s="149">
        <f>OD_IS!M21/OD_IS!M4</f>
        <v>7.9623368282012247E-2</v>
      </c>
      <c r="M28" s="149">
        <f>OD_IS!N21/OD_IS!N4</f>
        <v>8.0022255506678366E-2</v>
      </c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</row>
    <row r="29" spans="1:41" ht="14.4">
      <c r="A29" s="167"/>
      <c r="B29" s="65" t="s">
        <v>953</v>
      </c>
      <c r="C29" s="84"/>
      <c r="D29" s="147">
        <f>OD_IS!E9/((OD_BS!D4+OD_BS!E4)/2)</f>
        <v>-7.0835735039609278E-3</v>
      </c>
      <c r="E29" s="147">
        <f>OD_IS!F9/((OD_BS!E4+OD_BS!F4)/2)</f>
        <v>2.1244570349894139E-2</v>
      </c>
      <c r="F29" s="148">
        <f>OD_IS!G9/((OD_BS!F4+OD_BS!G4)/2)</f>
        <v>-2.9842494909026727E-3</v>
      </c>
      <c r="G29" s="179">
        <f>OD_IS!H9/((OD_BS!G4+OD_BS!H4)/2)</f>
        <v>2.6991612987464176E-3</v>
      </c>
      <c r="H29" s="179">
        <f>OD_IS!I9/((OD_BS!H4+OD_BS!I4)/2)</f>
        <v>3.9193210866785991E-3</v>
      </c>
      <c r="I29" s="149">
        <f>OD_IS!J9/((OD_BS!I4+OD_BS!J4)/2)</f>
        <v>1.9007581966631278E-2</v>
      </c>
      <c r="J29" s="149">
        <f>OD_IS!K9/((OD_BS!J4+OD_BS!K4)/2)</f>
        <v>5.3735707921169752E-2</v>
      </c>
      <c r="K29" s="149">
        <f>OD_IS!L9/((OD_BS!K4+OD_BS!L4)/2)</f>
        <v>9.812584018827232E-2</v>
      </c>
      <c r="L29" s="149">
        <f>OD_IS!M9/((OD_BS!L4+OD_BS!M4)/2)</f>
        <v>0.13584503592608263</v>
      </c>
      <c r="M29" s="149">
        <f>OD_IS!N9/((OD_BS!M4+OD_BS!N4)/2)</f>
        <v>0.15043577880419831</v>
      </c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</row>
    <row r="30" spans="1:41" ht="14.4">
      <c r="A30" s="167"/>
      <c r="B30" s="65" t="s">
        <v>954</v>
      </c>
      <c r="C30" s="84"/>
      <c r="D30" s="147">
        <f>OD_IS!E21/((OD_BS!D4+OD_BS!E4)/2)</f>
        <v>1.8434947001211142E-2</v>
      </c>
      <c r="E30" s="147">
        <f>OD_IS!F21/((OD_BS!E4+OD_BS!F4)/2)</f>
        <v>1.65580090288623E-2</v>
      </c>
      <c r="F30" s="148">
        <f>OD_IS!G21/((OD_BS!F4+OD_BS!G4)/2)</f>
        <v>5.5463517379952143E-2</v>
      </c>
      <c r="G30" s="179">
        <f>OD_IS!H21/((OD_BS!G4+OD_BS!H4)/2)</f>
        <v>2.8006648780612108E-2</v>
      </c>
      <c r="H30" s="179">
        <f>OD_IS!I21/((OD_BS!H4+OD_BS!I4)/2)</f>
        <v>2.9717237613095575E-2</v>
      </c>
      <c r="I30" s="149">
        <f>OD_IS!J21/((OD_BS!I4+OD_BS!J4)/2)</f>
        <v>4.7017834531935573E-2</v>
      </c>
      <c r="J30" s="149">
        <f>OD_IS!K21/((OD_BS!J4+OD_BS!K4)/2)</f>
        <v>7.248690934010249E-2</v>
      </c>
      <c r="K30" s="149">
        <f>OD_IS!L21/((OD_BS!K4+OD_BS!L4)/2)</f>
        <v>0.10849748469859083</v>
      </c>
      <c r="L30" s="149">
        <f>OD_IS!M21/((OD_BS!L4+OD_BS!M4)/2)</f>
        <v>0.14421919099767552</v>
      </c>
      <c r="M30" s="149">
        <f>OD_IS!N21/((OD_BS!M4+OD_BS!N4)/2)</f>
        <v>0.16050947105087604</v>
      </c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</row>
    <row r="31" spans="1:41" ht="14.4">
      <c r="A31" s="167"/>
      <c r="B31" s="65" t="s">
        <v>955</v>
      </c>
      <c r="C31" s="84"/>
      <c r="D31" s="147">
        <f>(OD_IS!E16+(OD_IS!E12*(1-OD_IS!E20)))/(OD_BS!E21+OD_BS!E24+OD_BS!E26)</f>
        <v>3.4857482685630978E-2</v>
      </c>
      <c r="E31" s="147">
        <f>(OD_IS!F16+(OD_IS!F12*(1-OD_IS!F20)))/(OD_BS!F21+OD_BS!F24+OD_BS!F26)</f>
        <v>1.8820847217148405E-2</v>
      </c>
      <c r="F31" s="148">
        <f>(OD_IS!G16+(OD_IS!G12*(1-OD_IS!G20)))/(OD_BS!G21+OD_BS!G24+OD_BS!G26)</f>
        <v>0.12624962510687646</v>
      </c>
      <c r="G31" s="179">
        <f>(OD_IS!H16+(OD_IS!H12*(1-OD_IS!H20)))/(OD_BS!H21+OD_BS!H24+OD_BS!H26)</f>
        <v>0.16581337890954123</v>
      </c>
      <c r="H31" s="179">
        <f>(OD_IS!I16+(OD_IS!I12*(1-OD_IS!I20)))/(OD_BS!I21+OD_BS!I24+OD_BS!I26)</f>
        <v>4.0696645864629982E-2</v>
      </c>
      <c r="I31" s="149">
        <f>(OD_IS!J16+(OD_IS!J12*(1-OD_IS!J20)))/(OD_BS!J21+OD_BS!J24+OD_BS!J26)</f>
        <v>7.0178802960243133E-2</v>
      </c>
      <c r="J31" s="149">
        <f>(OD_IS!K16+(OD_IS!K12*(1-OD_IS!K20)))/(OD_BS!K21+OD_BS!K24+OD_BS!K26)</f>
        <v>0.131585029041797</v>
      </c>
      <c r="K31" s="149">
        <f>(OD_IS!L16+(OD_IS!L12*(1-OD_IS!L20)))/(OD_BS!L21+OD_BS!L24+OD_BS!L26)</f>
        <v>0.23816126408699306</v>
      </c>
      <c r="L31" s="149">
        <f>(OD_IS!M16+(OD_IS!M12*(1-OD_IS!M20)))/(OD_BS!M21+OD_BS!M24+OD_BS!M26)</f>
        <v>0.25877626299250323</v>
      </c>
      <c r="M31" s="149">
        <f>(OD_IS!N16+(OD_IS!N12*(1-OD_IS!N20)))/(OD_BS!N21+OD_BS!N24+OD_BS!N26)</f>
        <v>0.23041955418399701</v>
      </c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</row>
    <row r="32" spans="1:41" ht="14.4">
      <c r="A32" s="167"/>
      <c r="B32" s="65" t="s">
        <v>956</v>
      </c>
      <c r="C32" s="84"/>
      <c r="D32" s="147">
        <f>OD_IS!E21/((OD_BS!D26+OD_BS!E26)/2)</f>
        <v>4.365537681452724E-2</v>
      </c>
      <c r="E32" s="147">
        <f>OD_IS!F21/((OD_BS!E26+OD_BS!F26)/2)</f>
        <v>5.3679987556922881E-2</v>
      </c>
      <c r="F32" s="148">
        <f>OD_IS!G21/((OD_BS!F26+OD_BS!G26)/2)</f>
        <v>0.43847145260742537</v>
      </c>
      <c r="G32" s="179">
        <f>OD_IS!H21/((OD_BS!G26+OD_BS!H26)/2)</f>
        <v>0.52532840637926759</v>
      </c>
      <c r="H32" s="179">
        <f>OD_IS!I21/((OD_BS!H26+OD_BS!I26)/2)</f>
        <v>0.47239294199690046</v>
      </c>
      <c r="I32" s="149">
        <f>OD_IS!J21/((OD_BS!I26+OD_BS!J26)/2)</f>
        <v>0.41088338489956711</v>
      </c>
      <c r="J32" s="149">
        <f>OD_IS!K21/((OD_BS!J26+OD_BS!K26)/2)</f>
        <v>0.40597763242727053</v>
      </c>
      <c r="K32" s="149">
        <f>OD_IS!L21/((OD_BS!K26+OD_BS!L26)/2)</f>
        <v>0.39471685004304752</v>
      </c>
      <c r="L32" s="149">
        <f>OD_IS!M21/((OD_BS!L26+OD_BS!M26)/2)</f>
        <v>0.35671024415338909</v>
      </c>
      <c r="M32" s="149">
        <f>OD_IS!N21/((OD_BS!M26+OD_BS!N26)/2)</f>
        <v>0.28907278420748272</v>
      </c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</row>
    <row r="33" spans="1:26" ht="14.4">
      <c r="A33" s="167"/>
      <c r="B33" s="167"/>
      <c r="C33" s="84"/>
      <c r="D33" s="157"/>
      <c r="E33" s="157"/>
      <c r="F33" s="157"/>
      <c r="G33" s="180"/>
      <c r="H33" s="180"/>
      <c r="I33" s="134"/>
      <c r="J33" s="134"/>
      <c r="K33" s="134"/>
      <c r="L33" s="134"/>
      <c r="M33" s="134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</row>
    <row r="34" spans="1:26" ht="14.4">
      <c r="A34" s="167"/>
      <c r="B34" s="167"/>
      <c r="C34" s="84"/>
      <c r="D34" s="157"/>
      <c r="E34" s="157"/>
      <c r="F34" s="157"/>
      <c r="G34" s="116"/>
      <c r="H34" s="116"/>
      <c r="I34" s="134"/>
      <c r="J34" s="134"/>
      <c r="K34" s="134"/>
      <c r="L34" s="134"/>
      <c r="M34" s="134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</row>
    <row r="35" spans="1:26" ht="14.4">
      <c r="A35" s="167"/>
      <c r="B35" s="167"/>
      <c r="C35" s="84"/>
      <c r="D35" s="157"/>
      <c r="E35" s="157"/>
      <c r="F35" s="157"/>
      <c r="G35" s="180"/>
      <c r="H35" s="180"/>
      <c r="I35" s="134"/>
      <c r="J35" s="134"/>
      <c r="K35" s="134"/>
      <c r="L35" s="134"/>
      <c r="M35" s="134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</row>
    <row r="36" spans="1:26" ht="14.4">
      <c r="A36" s="167"/>
      <c r="B36" s="167"/>
      <c r="C36" s="84"/>
      <c r="D36" s="157"/>
      <c r="E36" s="157"/>
      <c r="F36" s="157"/>
      <c r="G36" s="116"/>
      <c r="H36" s="116"/>
      <c r="I36" s="134"/>
      <c r="J36" s="134"/>
      <c r="K36" s="134"/>
      <c r="L36" s="134"/>
      <c r="M36" s="134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</row>
    <row r="37" spans="1:26" ht="14.4">
      <c r="A37" s="167"/>
      <c r="B37" s="167"/>
      <c r="C37" s="84"/>
      <c r="D37" s="157"/>
      <c r="E37" s="157"/>
      <c r="F37" s="157"/>
      <c r="G37" s="180"/>
      <c r="H37" s="180"/>
      <c r="I37" s="134"/>
      <c r="J37" s="134"/>
      <c r="K37" s="134"/>
      <c r="L37" s="134"/>
      <c r="M37" s="134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</row>
    <row r="38" spans="1:26" ht="14.4">
      <c r="A38" s="167"/>
      <c r="B38" s="167"/>
      <c r="C38" s="84"/>
      <c r="D38" s="157"/>
      <c r="E38" s="157"/>
      <c r="F38" s="157"/>
      <c r="G38" s="116"/>
      <c r="H38" s="116"/>
      <c r="I38" s="134"/>
      <c r="J38" s="134"/>
      <c r="K38" s="134"/>
      <c r="L38" s="134"/>
      <c r="M38" s="134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</row>
    <row r="39" spans="1:26" ht="14.4">
      <c r="A39" s="167"/>
      <c r="B39" s="167"/>
      <c r="C39" s="84"/>
      <c r="D39" s="157"/>
      <c r="E39" s="157"/>
      <c r="F39" s="157"/>
      <c r="G39" s="180"/>
      <c r="H39" s="180"/>
      <c r="I39" s="134"/>
      <c r="J39" s="134"/>
      <c r="K39" s="134"/>
      <c r="L39" s="134"/>
      <c r="M39" s="134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</row>
    <row r="40" spans="1:26" ht="14.4">
      <c r="A40" s="167"/>
      <c r="B40" s="167"/>
      <c r="C40" s="84"/>
      <c r="D40" s="157"/>
      <c r="E40" s="157"/>
      <c r="F40" s="157"/>
      <c r="G40" s="116"/>
      <c r="H40" s="116"/>
      <c r="I40" s="134"/>
      <c r="J40" s="134"/>
      <c r="K40" s="134"/>
      <c r="L40" s="134"/>
      <c r="M40" s="134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</row>
    <row r="41" spans="1:26" ht="14.4">
      <c r="A41" s="167"/>
      <c r="B41" s="167"/>
      <c r="C41" s="84"/>
      <c r="D41" s="157"/>
      <c r="E41" s="157"/>
      <c r="F41" s="157"/>
      <c r="G41" s="180"/>
      <c r="H41" s="180"/>
      <c r="I41" s="134"/>
      <c r="J41" s="134"/>
      <c r="K41" s="134"/>
      <c r="L41" s="134"/>
      <c r="M41" s="134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</row>
    <row r="42" spans="1:26" ht="14.4">
      <c r="A42" s="167"/>
      <c r="B42" s="167"/>
      <c r="C42" s="84"/>
      <c r="D42" s="157"/>
      <c r="E42" s="157"/>
      <c r="F42" s="157"/>
      <c r="G42" s="116"/>
      <c r="H42" s="116"/>
      <c r="I42" s="134"/>
      <c r="J42" s="134"/>
      <c r="K42" s="134"/>
      <c r="L42" s="134"/>
      <c r="M42" s="134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</row>
    <row r="43" spans="1:26" ht="14.4">
      <c r="A43" s="167"/>
      <c r="B43" s="167"/>
      <c r="C43" s="84"/>
      <c r="D43" s="157"/>
      <c r="E43" s="157"/>
      <c r="F43" s="157"/>
      <c r="G43" s="180"/>
      <c r="H43" s="180"/>
      <c r="I43" s="134"/>
      <c r="J43" s="134"/>
      <c r="K43" s="134"/>
      <c r="L43" s="134"/>
      <c r="M43" s="134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</row>
    <row r="44" spans="1:26" ht="14.4">
      <c r="A44" s="167"/>
      <c r="B44" s="167"/>
      <c r="C44" s="84"/>
      <c r="D44" s="157"/>
      <c r="E44" s="157"/>
      <c r="F44" s="157"/>
      <c r="G44" s="116"/>
      <c r="H44" s="116"/>
      <c r="I44" s="134"/>
      <c r="J44" s="134"/>
      <c r="K44" s="134"/>
      <c r="L44" s="134"/>
      <c r="M44" s="134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</row>
    <row r="45" spans="1:26" ht="14.4">
      <c r="A45" s="167"/>
      <c r="B45" s="167"/>
      <c r="C45" s="84"/>
      <c r="D45" s="157"/>
      <c r="E45" s="157"/>
      <c r="F45" s="157"/>
      <c r="G45" s="180"/>
      <c r="H45" s="180"/>
      <c r="I45" s="134"/>
      <c r="J45" s="134"/>
      <c r="K45" s="134"/>
      <c r="L45" s="134"/>
      <c r="M45" s="134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</row>
    <row r="46" spans="1:26" ht="14.4">
      <c r="A46" s="167"/>
      <c r="B46" s="167"/>
      <c r="C46" s="84"/>
      <c r="D46" s="157"/>
      <c r="E46" s="157"/>
      <c r="F46" s="157"/>
      <c r="G46" s="116"/>
      <c r="H46" s="116"/>
      <c r="I46" s="134"/>
      <c r="J46" s="134"/>
      <c r="K46" s="134"/>
      <c r="L46" s="134"/>
      <c r="M46" s="134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</row>
    <row r="47" spans="1:26" ht="14.4">
      <c r="A47" s="167"/>
      <c r="B47" s="167"/>
      <c r="C47" s="84"/>
      <c r="D47" s="157"/>
      <c r="E47" s="157"/>
      <c r="F47" s="157"/>
      <c r="G47" s="180"/>
      <c r="H47" s="180"/>
      <c r="I47" s="134"/>
      <c r="J47" s="134"/>
      <c r="K47" s="134"/>
      <c r="L47" s="134"/>
      <c r="M47" s="134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</row>
    <row r="48" spans="1:26" ht="21.7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</row>
    <row r="49" spans="1:26" ht="21.7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</row>
    <row r="50" spans="1:26" ht="21.7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 t="s">
        <v>1109</v>
      </c>
      <c r="Q50" s="165">
        <v>2021</v>
      </c>
      <c r="R50" s="165">
        <v>2022</v>
      </c>
      <c r="S50" s="165">
        <v>2023</v>
      </c>
      <c r="T50" s="165">
        <v>2024</v>
      </c>
      <c r="U50" s="165">
        <v>2025</v>
      </c>
      <c r="V50" s="165">
        <v>2026</v>
      </c>
      <c r="W50" s="165">
        <v>2027</v>
      </c>
      <c r="X50" s="165">
        <v>2028</v>
      </c>
      <c r="Y50" s="165">
        <v>2029</v>
      </c>
      <c r="Z50" s="165">
        <v>2030</v>
      </c>
    </row>
    <row r="51" spans="1:26" ht="21.7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 t="s">
        <v>1056</v>
      </c>
      <c r="Q51" s="168">
        <f t="shared" ref="Q51:Z52" si="10">D25</f>
        <v>0.33260299713185093</v>
      </c>
      <c r="R51" s="168">
        <f t="shared" si="10"/>
        <v>0.27980355990095329</v>
      </c>
      <c r="S51" s="168">
        <f t="shared" si="10"/>
        <v>0.16650620666232679</v>
      </c>
      <c r="T51" s="168">
        <f t="shared" si="10"/>
        <v>0.13119367490427822</v>
      </c>
      <c r="U51" s="168">
        <f t="shared" si="10"/>
        <v>0.13000000000000006</v>
      </c>
      <c r="V51" s="168">
        <f t="shared" si="10"/>
        <v>0.13999999999999996</v>
      </c>
      <c r="W51" s="168">
        <f t="shared" si="10"/>
        <v>0.16000000000000011</v>
      </c>
      <c r="X51" s="168">
        <f t="shared" si="10"/>
        <v>0.18000000000000002</v>
      </c>
      <c r="Y51" s="168">
        <f t="shared" si="10"/>
        <v>0.19</v>
      </c>
      <c r="Z51" s="168">
        <f t="shared" si="10"/>
        <v>0.19</v>
      </c>
    </row>
    <row r="52" spans="1:26" ht="21.7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 t="s">
        <v>1057</v>
      </c>
      <c r="Q52" s="168">
        <f t="shared" si="10"/>
        <v>-3.0447306313951858E-2</v>
      </c>
      <c r="R52" s="168">
        <f t="shared" si="10"/>
        <v>8.2651451873303666E-2</v>
      </c>
      <c r="S52" s="168">
        <f t="shared" si="10"/>
        <v>-6.843302102767122E-3</v>
      </c>
      <c r="T52" s="168">
        <f t="shared" si="10"/>
        <v>4.8423025224111089E-3</v>
      </c>
      <c r="U52" s="168">
        <f t="shared" si="10"/>
        <v>5.0000000000000573E-3</v>
      </c>
      <c r="V52" s="168">
        <f t="shared" si="10"/>
        <v>1.699999999999996E-2</v>
      </c>
      <c r="W52" s="168">
        <f t="shared" si="10"/>
        <v>4.0000000000000112E-2</v>
      </c>
      <c r="X52" s="168">
        <f t="shared" si="10"/>
        <v>6.2000000000000013E-2</v>
      </c>
      <c r="Y52" s="168">
        <f t="shared" si="10"/>
        <v>7.4999999999999997E-2</v>
      </c>
      <c r="Z52" s="168">
        <f t="shared" si="10"/>
        <v>7.5000000000000025E-2</v>
      </c>
    </row>
    <row r="53" spans="1:26" ht="21.7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 t="s">
        <v>1058</v>
      </c>
      <c r="Q53" s="168">
        <f t="shared" ref="Q53:Z53" si="11">D28</f>
        <v>7.9238886688122095E-2</v>
      </c>
      <c r="R53" s="168">
        <f t="shared" si="11"/>
        <v>6.4418506179559396E-2</v>
      </c>
      <c r="S53" s="168">
        <f t="shared" si="11"/>
        <v>0.12718561443007245</v>
      </c>
      <c r="T53" s="168">
        <f t="shared" si="11"/>
        <v>5.0244002126743965E-2</v>
      </c>
      <c r="U53" s="168">
        <f t="shared" si="11"/>
        <v>3.7911205736756284E-2</v>
      </c>
      <c r="V53" s="168">
        <f t="shared" si="11"/>
        <v>4.2051807980947702E-2</v>
      </c>
      <c r="W53" s="168">
        <f t="shared" si="11"/>
        <v>5.3958093896476385E-2</v>
      </c>
      <c r="X53" s="168">
        <f t="shared" si="11"/>
        <v>6.8553237744573253E-2</v>
      </c>
      <c r="Y53" s="168">
        <f t="shared" si="11"/>
        <v>7.9623368282012247E-2</v>
      </c>
      <c r="Z53" s="168">
        <f t="shared" si="11"/>
        <v>8.0022255506678366E-2</v>
      </c>
    </row>
    <row r="54" spans="1:26" ht="21.75" customHeight="1">
      <c r="A54" s="165"/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</row>
    <row r="55" spans="1:26" ht="21.75" customHeight="1">
      <c r="A55" s="165"/>
      <c r="B55" s="165"/>
      <c r="C55" s="165"/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</row>
    <row r="56" spans="1:26" ht="21.75" customHeight="1">
      <c r="A56" s="165"/>
      <c r="B56" s="165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 t="s">
        <v>1110</v>
      </c>
      <c r="Q56" s="165">
        <v>2021</v>
      </c>
      <c r="R56" s="165">
        <v>2022</v>
      </c>
      <c r="S56" s="165">
        <v>2023</v>
      </c>
      <c r="T56" s="165">
        <v>2024</v>
      </c>
      <c r="U56" s="165">
        <v>2025</v>
      </c>
      <c r="V56" s="165">
        <v>2026</v>
      </c>
      <c r="W56" s="165">
        <v>2027</v>
      </c>
      <c r="X56" s="165">
        <v>2028</v>
      </c>
      <c r="Y56" s="165">
        <v>2029</v>
      </c>
      <c r="Z56" s="165">
        <v>2030</v>
      </c>
    </row>
    <row r="57" spans="1:26" ht="21.7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 t="s">
        <v>954</v>
      </c>
      <c r="Q57" s="168">
        <f t="shared" ref="Q57:Z57" si="12">D30</f>
        <v>1.8434947001211142E-2</v>
      </c>
      <c r="R57" s="168">
        <f t="shared" si="12"/>
        <v>1.65580090288623E-2</v>
      </c>
      <c r="S57" s="168">
        <f t="shared" si="12"/>
        <v>5.5463517379952143E-2</v>
      </c>
      <c r="T57" s="168">
        <f t="shared" si="12"/>
        <v>2.8006648780612108E-2</v>
      </c>
      <c r="U57" s="168">
        <f t="shared" si="12"/>
        <v>2.9717237613095575E-2</v>
      </c>
      <c r="V57" s="168">
        <f t="shared" si="12"/>
        <v>4.7017834531935573E-2</v>
      </c>
      <c r="W57" s="168">
        <f t="shared" si="12"/>
        <v>7.248690934010249E-2</v>
      </c>
      <c r="X57" s="168">
        <f t="shared" si="12"/>
        <v>0.10849748469859083</v>
      </c>
      <c r="Y57" s="168">
        <f t="shared" si="12"/>
        <v>0.14421919099767552</v>
      </c>
      <c r="Z57" s="168">
        <f t="shared" si="12"/>
        <v>0.16050947105087604</v>
      </c>
    </row>
    <row r="58" spans="1:26" ht="21.7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 t="s">
        <v>956</v>
      </c>
      <c r="Q58" s="168">
        <f t="shared" ref="Q58:Z58" si="13">D32</f>
        <v>4.365537681452724E-2</v>
      </c>
      <c r="R58" s="168">
        <f t="shared" si="13"/>
        <v>5.3679987556922881E-2</v>
      </c>
      <c r="S58" s="168">
        <f t="shared" si="13"/>
        <v>0.43847145260742537</v>
      </c>
      <c r="T58" s="168">
        <f t="shared" si="13"/>
        <v>0.52532840637926759</v>
      </c>
      <c r="U58" s="168">
        <f t="shared" si="13"/>
        <v>0.47239294199690046</v>
      </c>
      <c r="V58" s="168">
        <f t="shared" si="13"/>
        <v>0.41088338489956711</v>
      </c>
      <c r="W58" s="168">
        <f t="shared" si="13"/>
        <v>0.40597763242727053</v>
      </c>
      <c r="X58" s="168">
        <f t="shared" si="13"/>
        <v>0.39471685004304752</v>
      </c>
      <c r="Y58" s="168">
        <f t="shared" si="13"/>
        <v>0.35671024415338909</v>
      </c>
      <c r="Z58" s="168">
        <f t="shared" si="13"/>
        <v>0.28907278420748272</v>
      </c>
    </row>
    <row r="59" spans="1:26" ht="21.7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</row>
    <row r="60" spans="1:26" ht="21.7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</row>
    <row r="61" spans="1:26" ht="21.7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</row>
    <row r="62" spans="1:26" ht="21.7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 t="s">
        <v>1111</v>
      </c>
      <c r="Q62" s="165">
        <v>2021</v>
      </c>
      <c r="R62" s="165">
        <v>2022</v>
      </c>
      <c r="S62" s="165">
        <v>2023</v>
      </c>
      <c r="T62" s="165">
        <v>2024</v>
      </c>
      <c r="U62" s="165">
        <v>2025</v>
      </c>
      <c r="V62" s="165">
        <v>2026</v>
      </c>
      <c r="W62" s="165">
        <v>2027</v>
      </c>
      <c r="X62" s="165">
        <v>2028</v>
      </c>
      <c r="Y62" s="165">
        <v>2029</v>
      </c>
      <c r="Z62" s="165">
        <v>2030</v>
      </c>
    </row>
    <row r="63" spans="1:26" ht="21.7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 t="s">
        <v>1059</v>
      </c>
      <c r="Q63" s="169">
        <f t="shared" ref="Q63:Z65" si="14">D15</f>
        <v>1.9751722713258983</v>
      </c>
      <c r="R63" s="169">
        <f t="shared" si="14"/>
        <v>2.3191014701531469</v>
      </c>
      <c r="S63" s="169">
        <f t="shared" si="14"/>
        <v>1.3554799233291694</v>
      </c>
      <c r="T63" s="169">
        <f t="shared" si="14"/>
        <v>2.9663193734630378</v>
      </c>
      <c r="U63" s="169">
        <f t="shared" si="14"/>
        <v>0.6136149011113412</v>
      </c>
      <c r="V63" s="169">
        <f t="shared" si="14"/>
        <v>0.6995749608665397</v>
      </c>
      <c r="W63" s="169">
        <f t="shared" si="14"/>
        <v>0.83916974033614167</v>
      </c>
      <c r="X63" s="169">
        <f t="shared" si="14"/>
        <v>1.073677888795415</v>
      </c>
      <c r="Y63" s="169">
        <f t="shared" si="14"/>
        <v>1.1096522604167827</v>
      </c>
      <c r="Z63" s="169">
        <f t="shared" si="14"/>
        <v>1.1054479869907039</v>
      </c>
    </row>
    <row r="64" spans="1:26" ht="21.75" customHeight="1">
      <c r="A64" s="165"/>
      <c r="B64" s="165"/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 t="s">
        <v>1060</v>
      </c>
      <c r="Q64" s="169">
        <f t="shared" si="14"/>
        <v>1.7997699754156447</v>
      </c>
      <c r="R64" s="169">
        <f t="shared" si="14"/>
        <v>2.0901550074856186</v>
      </c>
      <c r="S64" s="169">
        <f t="shared" si="14"/>
        <v>1.2870361150337239</v>
      </c>
      <c r="T64" s="169">
        <f t="shared" si="14"/>
        <v>2.7877769943615753</v>
      </c>
      <c r="U64" s="169">
        <f t="shared" si="14"/>
        <v>0.54570117977346966</v>
      </c>
      <c r="V64" s="169">
        <f t="shared" si="14"/>
        <v>0.60884919885243227</v>
      </c>
      <c r="W64" s="169">
        <f t="shared" si="14"/>
        <v>0.72040977538833384</v>
      </c>
      <c r="X64" s="169">
        <f t="shared" si="14"/>
        <v>0.90894541022754149</v>
      </c>
      <c r="Y64" s="169">
        <f t="shared" si="14"/>
        <v>0.93653042465944702</v>
      </c>
      <c r="Z64" s="169">
        <f t="shared" si="14"/>
        <v>0.93040852698059673</v>
      </c>
    </row>
    <row r="65" spans="1:26" ht="21.75" customHeight="1">
      <c r="A65" s="165"/>
      <c r="B65" s="165"/>
      <c r="C65" s="165"/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65" t="s">
        <v>1061</v>
      </c>
      <c r="Q65" s="169">
        <f t="shared" si="14"/>
        <v>8.4067712570240899E-2</v>
      </c>
      <c r="R65" s="169">
        <f t="shared" si="14"/>
        <v>2.1269790505787659E-2</v>
      </c>
      <c r="S65" s="169">
        <f t="shared" si="14"/>
        <v>0.14274995803134624</v>
      </c>
      <c r="T65" s="169">
        <f t="shared" si="14"/>
        <v>0.71841655773466917</v>
      </c>
      <c r="U65" s="169">
        <f t="shared" si="14"/>
        <v>0.21433647551604085</v>
      </c>
      <c r="V65" s="169">
        <f t="shared" si="14"/>
        <v>0.23674333700161215</v>
      </c>
      <c r="W65" s="169">
        <f t="shared" si="14"/>
        <v>0.27425574121701218</v>
      </c>
      <c r="X65" s="169">
        <f t="shared" si="14"/>
        <v>0.34891124643768251</v>
      </c>
      <c r="Y65" s="169">
        <f t="shared" si="14"/>
        <v>0.3426124601968713</v>
      </c>
      <c r="Z65" s="169">
        <f t="shared" si="14"/>
        <v>0.32991189213927985</v>
      </c>
    </row>
    <row r="66" spans="1:26" ht="21.75" customHeight="1">
      <c r="A66" s="165"/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</row>
    <row r="67" spans="1:26" ht="21.75" customHeight="1">
      <c r="A67" s="165"/>
      <c r="B67" s="165"/>
      <c r="C67" s="165"/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</row>
    <row r="68" spans="1:26" ht="21.75" customHeight="1">
      <c r="A68" s="165"/>
      <c r="B68" s="165"/>
      <c r="C68" s="165"/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5" t="s">
        <v>1112</v>
      </c>
      <c r="Q68" s="165">
        <v>2021</v>
      </c>
      <c r="R68" s="165">
        <v>2022</v>
      </c>
      <c r="S68" s="165">
        <v>2023</v>
      </c>
      <c r="T68" s="165">
        <v>2024</v>
      </c>
      <c r="U68" s="165">
        <v>2025</v>
      </c>
      <c r="V68" s="165">
        <v>2026</v>
      </c>
      <c r="W68" s="165">
        <v>2027</v>
      </c>
      <c r="X68" s="165">
        <v>2028</v>
      </c>
      <c r="Y68" s="165">
        <v>2029</v>
      </c>
      <c r="Z68" s="165">
        <v>2030</v>
      </c>
    </row>
    <row r="69" spans="1:26" ht="21.75" customHeight="1">
      <c r="A69" s="165"/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 t="s">
        <v>1062</v>
      </c>
      <c r="Q69" s="168">
        <f t="shared" ref="Q69:Z69" si="15">D20</f>
        <v>7.2654516987199089E-2</v>
      </c>
      <c r="R69" s="168">
        <f t="shared" si="15"/>
        <v>0.11123322107585394</v>
      </c>
      <c r="S69" s="168">
        <f t="shared" si="15"/>
        <v>0.20512431833246916</v>
      </c>
      <c r="T69" s="168">
        <f t="shared" si="15"/>
        <v>0.11125636259658357</v>
      </c>
      <c r="U69" s="168">
        <f t="shared" si="15"/>
        <v>0.64636538889711614</v>
      </c>
      <c r="V69" s="168">
        <f t="shared" si="15"/>
        <v>0.52580285865359866</v>
      </c>
      <c r="W69" s="168">
        <f t="shared" si="15"/>
        <v>0.38241979087720529</v>
      </c>
      <c r="X69" s="168">
        <f t="shared" si="15"/>
        <v>0.19246529628604303</v>
      </c>
      <c r="Y69" s="168">
        <f t="shared" si="15"/>
        <v>0.17630262139120184</v>
      </c>
      <c r="Z69" s="168">
        <f t="shared" si="15"/>
        <v>0.18773462660371312</v>
      </c>
    </row>
    <row r="70" spans="1:26" ht="21.75" customHeight="1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 t="s">
        <v>1063</v>
      </c>
      <c r="Q70" s="168">
        <f t="shared" ref="Q70:Z70" si="16">D22</f>
        <v>0.16557253961860102</v>
      </c>
      <c r="R70" s="168">
        <f t="shared" si="16"/>
        <v>0.51016287609556987</v>
      </c>
      <c r="S70" s="168">
        <f t="shared" si="16"/>
        <v>3.1564531104675191</v>
      </c>
      <c r="T70" s="168">
        <f t="shared" si="16"/>
        <v>2.6118323554977882</v>
      </c>
      <c r="U70" s="168">
        <f t="shared" si="16"/>
        <v>7.2477729497211616</v>
      </c>
      <c r="V70" s="168">
        <f t="shared" si="16"/>
        <v>3.7374109646302132</v>
      </c>
      <c r="W70" s="168">
        <f t="shared" si="16"/>
        <v>1.7517701921982824</v>
      </c>
      <c r="X70" s="168">
        <f t="shared" si="16"/>
        <v>0.57348661551577929</v>
      </c>
      <c r="Y70" s="168">
        <f t="shared" si="16"/>
        <v>0.37030487609699286</v>
      </c>
      <c r="Z70" s="168">
        <f t="shared" si="16"/>
        <v>0.2935445547851333</v>
      </c>
    </row>
    <row r="71" spans="1:26" ht="21.75" customHeight="1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</row>
    <row r="72" spans="1:26" ht="21.75" customHeight="1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</row>
    <row r="73" spans="1:26" ht="21.75" customHeight="1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</row>
    <row r="74" spans="1:26" ht="21.75" customHeight="1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 t="s">
        <v>1113</v>
      </c>
      <c r="Q74" s="165">
        <v>2021</v>
      </c>
      <c r="R74" s="165">
        <v>2022</v>
      </c>
      <c r="S74" s="165">
        <v>2023</v>
      </c>
      <c r="T74" s="165">
        <v>2024</v>
      </c>
      <c r="U74" s="165">
        <v>2025</v>
      </c>
      <c r="V74" s="165">
        <v>2026</v>
      </c>
      <c r="W74" s="165">
        <v>2027</v>
      </c>
      <c r="X74" s="165">
        <v>2028</v>
      </c>
      <c r="Y74" s="165">
        <v>2029</v>
      </c>
      <c r="Z74" s="165">
        <v>2030</v>
      </c>
    </row>
    <row r="75" spans="1:26" ht="21.75" customHeight="1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65" t="s">
        <v>1064</v>
      </c>
      <c r="Q75" s="170">
        <f t="shared" ref="Q75:Z75" si="17">D8</f>
        <v>930.06476612029405</v>
      </c>
      <c r="R75" s="170">
        <f t="shared" si="17"/>
        <v>614.74805311133446</v>
      </c>
      <c r="S75" s="170">
        <f t="shared" si="17"/>
        <v>346.34903935648128</v>
      </c>
      <c r="T75" s="170">
        <f t="shared" si="17"/>
        <v>268.0197631093618</v>
      </c>
      <c r="U75" s="170">
        <f t="shared" si="17"/>
        <v>171.78946991670267</v>
      </c>
      <c r="V75" s="170">
        <f t="shared" si="17"/>
        <v>99.180327868852444</v>
      </c>
      <c r="W75" s="170">
        <f t="shared" si="17"/>
        <v>88.478260869565219</v>
      </c>
      <c r="X75" s="170">
        <f t="shared" si="17"/>
        <v>80.540540540540547</v>
      </c>
      <c r="Y75" s="170">
        <f t="shared" si="17"/>
        <v>77.037037037037024</v>
      </c>
      <c r="Z75" s="170">
        <f t="shared" si="17"/>
        <v>78.095238095238088</v>
      </c>
    </row>
    <row r="76" spans="1:26" ht="21.75" customHeight="1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 t="s">
        <v>1065</v>
      </c>
      <c r="Q76" s="170">
        <f t="shared" ref="Q76:Z76" si="18">D6</f>
        <v>40.247904021167614</v>
      </c>
      <c r="R76" s="170">
        <f t="shared" si="18"/>
        <v>27.502707636416098</v>
      </c>
      <c r="S76" s="170">
        <f t="shared" si="18"/>
        <v>14.931599657028629</v>
      </c>
      <c r="T76" s="170">
        <f t="shared" si="18"/>
        <v>17.770415870894848</v>
      </c>
      <c r="U76" s="170">
        <f t="shared" si="18"/>
        <v>20.25780636324917</v>
      </c>
      <c r="V76" s="170">
        <f t="shared" si="18"/>
        <v>19.433721318782641</v>
      </c>
      <c r="W76" s="170">
        <f t="shared" si="18"/>
        <v>20.082494854437861</v>
      </c>
      <c r="X76" s="170">
        <f t="shared" si="18"/>
        <v>20.428894513412356</v>
      </c>
      <c r="Y76" s="170">
        <f t="shared" si="18"/>
        <v>20.582764191699486</v>
      </c>
      <c r="Z76" s="170">
        <f t="shared" si="18"/>
        <v>20.742379679884891</v>
      </c>
    </row>
    <row r="77" spans="1:26" ht="21.75" customHeight="1">
      <c r="A77" s="165"/>
      <c r="B77" s="165"/>
      <c r="C77" s="165"/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 t="s">
        <v>1066</v>
      </c>
      <c r="Q77" s="170">
        <f t="shared" ref="Q77:Z77" si="19">D10</f>
        <v>148.42927975919673</v>
      </c>
      <c r="R77" s="170">
        <f t="shared" si="19"/>
        <v>111.62140225056201</v>
      </c>
      <c r="S77" s="170">
        <f t="shared" si="19"/>
        <v>50.305257483939826</v>
      </c>
      <c r="T77" s="170">
        <f t="shared" si="19"/>
        <v>36.740764965325937</v>
      </c>
      <c r="U77" s="170">
        <f t="shared" si="19"/>
        <v>33.785356010735349</v>
      </c>
      <c r="V77" s="170">
        <f t="shared" si="19"/>
        <v>34.951443746348431</v>
      </c>
      <c r="W77" s="170">
        <f t="shared" si="19"/>
        <v>36.118259476779706</v>
      </c>
      <c r="X77" s="170">
        <f t="shared" si="19"/>
        <v>36.741257408869004</v>
      </c>
      <c r="Y77" s="170">
        <f t="shared" si="19"/>
        <v>37.017991201471219</v>
      </c>
      <c r="Z77" s="170">
        <f t="shared" si="19"/>
        <v>37.305058802413207</v>
      </c>
    </row>
    <row r="78" spans="1:26" ht="21.75" customHeight="1">
      <c r="A78" s="165"/>
      <c r="B78" s="165"/>
      <c r="C78" s="165"/>
      <c r="D78" s="165"/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</row>
    <row r="79" spans="1:26" ht="21.75" customHeight="1">
      <c r="A79" s="165"/>
      <c r="B79" s="165"/>
      <c r="C79" s="165"/>
      <c r="D79" s="165"/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</row>
    <row r="80" spans="1:26" ht="21.75" customHeight="1">
      <c r="A80" s="165"/>
      <c r="B80" s="165"/>
      <c r="C80" s="165"/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 t="s">
        <v>1114</v>
      </c>
      <c r="Q80" s="165">
        <v>2021</v>
      </c>
      <c r="R80" s="165">
        <v>2022</v>
      </c>
      <c r="S80" s="165">
        <v>2023</v>
      </c>
      <c r="T80" s="165">
        <v>2024</v>
      </c>
      <c r="U80" s="165">
        <v>2025</v>
      </c>
      <c r="V80" s="165">
        <v>2026</v>
      </c>
      <c r="W80" s="165">
        <v>2027</v>
      </c>
      <c r="X80" s="165">
        <v>2028</v>
      </c>
      <c r="Y80" s="165">
        <v>2029</v>
      </c>
      <c r="Z80" s="165">
        <v>2030</v>
      </c>
    </row>
    <row r="81" spans="1:26" ht="21.75" customHeight="1">
      <c r="A81" s="165"/>
      <c r="B81" s="165"/>
      <c r="C81" s="165"/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 t="s">
        <v>1067</v>
      </c>
      <c r="Q81" s="169">
        <f t="shared" ref="Q81:Z82" si="20">D12</f>
        <v>2.8193553359782202</v>
      </c>
      <c r="R81" s="169">
        <f t="shared" si="20"/>
        <v>2.695481918895688</v>
      </c>
      <c r="S81" s="169">
        <f t="shared" si="20"/>
        <v>2.6130793310255864</v>
      </c>
      <c r="T81" s="169">
        <f t="shared" si="20"/>
        <v>2.5723583837939263</v>
      </c>
      <c r="U81" s="169">
        <f t="shared" si="20"/>
        <v>2.9853361415679855</v>
      </c>
      <c r="V81" s="169">
        <f t="shared" si="20"/>
        <v>3.0849318082209791</v>
      </c>
      <c r="W81" s="169">
        <f t="shared" si="20"/>
        <v>3.090099726487018</v>
      </c>
      <c r="X81" s="169">
        <f t="shared" si="20"/>
        <v>3.0343276673886503</v>
      </c>
      <c r="Y81" s="169">
        <f t="shared" si="20"/>
        <v>2.9097782959429237</v>
      </c>
      <c r="Z81" s="169">
        <f t="shared" si="20"/>
        <v>2.7296209473958424</v>
      </c>
    </row>
    <row r="82" spans="1:26" ht="21.75" customHeight="1">
      <c r="A82" s="165"/>
      <c r="B82" s="165"/>
      <c r="C82" s="165"/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 t="s">
        <v>1068</v>
      </c>
      <c r="Q82" s="169">
        <f t="shared" si="20"/>
        <v>0.23265025256815655</v>
      </c>
      <c r="R82" s="169">
        <f t="shared" si="20"/>
        <v>0.2570380781992786</v>
      </c>
      <c r="S82" s="169">
        <f t="shared" si="20"/>
        <v>0.4360832601115151</v>
      </c>
      <c r="T82" s="169">
        <f t="shared" si="20"/>
        <v>0.55741277754832119</v>
      </c>
      <c r="U82" s="169">
        <f t="shared" si="20"/>
        <v>0.78386421733571088</v>
      </c>
      <c r="V82" s="169">
        <f t="shared" si="20"/>
        <v>1.1180930568606662</v>
      </c>
      <c r="W82" s="169">
        <f t="shared" si="20"/>
        <v>1.3433926980292401</v>
      </c>
      <c r="X82" s="169">
        <f t="shared" si="20"/>
        <v>1.5826748417463274</v>
      </c>
      <c r="Y82" s="169">
        <f t="shared" si="20"/>
        <v>1.8112671456811018</v>
      </c>
      <c r="Z82" s="169">
        <f t="shared" si="20"/>
        <v>2.0058103840559767</v>
      </c>
    </row>
  </sheetData>
  <pageMargins left="0.7" right="0.7" top="0.75" bottom="0.75" header="0.3" footer="0.3"/>
  <ignoredErrors>
    <ignoredError sqref="D9:G9 D7:G7 I9:M9 I7:M7" formula="1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B484-432E-4F6C-AE8A-174A32E10C06}">
  <sheetPr>
    <tabColor rgb="FFFF0000"/>
  </sheetPr>
  <dimension ref="A1:Z335"/>
  <sheetViews>
    <sheetView topLeftCell="A9" zoomScaleNormal="100" workbookViewId="0">
      <selection activeCell="E84" sqref="E84"/>
    </sheetView>
  </sheetViews>
  <sheetFormatPr defaultRowHeight="14.4"/>
  <cols>
    <col min="2" max="2" width="62.109375" bestFit="1" customWidth="1"/>
    <col min="3" max="3" width="10.77734375" bestFit="1" customWidth="1"/>
    <col min="4" max="4" width="9" bestFit="1" customWidth="1"/>
    <col min="5" max="5" width="9.33203125" bestFit="1" customWidth="1"/>
    <col min="6" max="6" width="9.44140625" bestFit="1" customWidth="1"/>
    <col min="7" max="8" width="9.77734375" bestFit="1" customWidth="1"/>
    <col min="9" max="9" width="10.109375" bestFit="1" customWidth="1"/>
    <col min="10" max="10" width="8.21875" bestFit="1" customWidth="1"/>
    <col min="11" max="11" width="10.5546875" bestFit="1" customWidth="1"/>
    <col min="12" max="13" width="7.6640625" bestFit="1" customWidth="1"/>
    <col min="14" max="20" width="8.109375" bestFit="1" customWidth="1"/>
    <col min="24" max="24" width="9.109375" customWidth="1"/>
    <col min="26" max="26" width="6.77734375" bestFit="1" customWidth="1"/>
  </cols>
  <sheetData>
    <row r="1" spans="1:26" s="7" customFormat="1" ht="18">
      <c r="A1"/>
      <c r="B1" s="263" t="s">
        <v>996</v>
      </c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67"/>
      <c r="V1" s="67"/>
      <c r="W1" s="67"/>
      <c r="X1" s="67"/>
      <c r="Y1" s="67"/>
      <c r="Z1" s="67"/>
    </row>
    <row r="2" spans="1:26" s="7" customFormat="1">
      <c r="A2"/>
      <c r="B2" s="181" t="s">
        <v>1232</v>
      </c>
      <c r="C2" s="182" t="s">
        <v>1223</v>
      </c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67"/>
      <c r="V2" s="67"/>
      <c r="W2" s="67"/>
      <c r="X2" s="67"/>
      <c r="Y2" s="67"/>
      <c r="Z2" s="67"/>
    </row>
    <row r="3" spans="1:26" s="7" customFormat="1">
      <c r="A3"/>
      <c r="B3" s="183" t="s">
        <v>997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67"/>
      <c r="V3" s="67"/>
      <c r="W3" s="67"/>
      <c r="X3" s="67"/>
      <c r="Y3" s="67"/>
      <c r="Z3" s="67"/>
    </row>
    <row r="4" spans="1:26" s="7" customFormat="1">
      <c r="A4"/>
      <c r="B4" s="167" t="s">
        <v>957</v>
      </c>
      <c r="C4" s="184">
        <f ca="1">TODAY()</f>
        <v>46138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67"/>
      <c r="V4" s="67"/>
      <c r="W4" s="67"/>
      <c r="X4" s="67"/>
      <c r="Y4" s="67"/>
      <c r="Z4" s="67"/>
    </row>
    <row r="5" spans="1:26" s="7" customFormat="1">
      <c r="A5"/>
      <c r="B5" s="167" t="s">
        <v>998</v>
      </c>
      <c r="C5" s="185">
        <f>DATE(OD_IS!G3,12,31)</f>
        <v>45657</v>
      </c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67"/>
      <c r="V5" s="67"/>
      <c r="W5" s="67"/>
      <c r="X5" s="67"/>
      <c r="Y5" s="67"/>
      <c r="Z5" s="67"/>
    </row>
    <row r="6" spans="1:26" s="7" customFormat="1">
      <c r="A6"/>
      <c r="B6" s="167" t="s">
        <v>999</v>
      </c>
      <c r="C6" s="186">
        <v>5</v>
      </c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67"/>
      <c r="V6" s="67"/>
      <c r="W6" s="67"/>
      <c r="X6" s="67"/>
      <c r="Y6" s="67"/>
      <c r="Z6" s="67"/>
    </row>
    <row r="7" spans="1:26" s="7" customFormat="1">
      <c r="A7"/>
      <c r="B7" s="167" t="s">
        <v>1000</v>
      </c>
      <c r="C7" s="187">
        <f>INDEX($C$81:$E$81,MATCH($C$2,$C$76:$E$76,0))</f>
        <v>4.4999999999999998E-2</v>
      </c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67"/>
      <c r="V7" s="67"/>
      <c r="W7" s="67"/>
      <c r="X7" s="67"/>
      <c r="Y7" s="67"/>
      <c r="Z7" s="67"/>
    </row>
    <row r="8" spans="1:26" s="7" customFormat="1">
      <c r="A8"/>
      <c r="B8" s="167" t="s">
        <v>958</v>
      </c>
      <c r="C8" s="188">
        <f>INDEX($C$77:$E$77,MATCH($C$2,$C$76:$E$76,0))</f>
        <v>1.05</v>
      </c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67"/>
      <c r="V8" s="67"/>
      <c r="W8" s="67"/>
      <c r="X8" s="67"/>
      <c r="Y8" s="67"/>
      <c r="Z8" s="67"/>
    </row>
    <row r="9" spans="1:26" s="7" customFormat="1">
      <c r="A9"/>
      <c r="B9" s="167" t="s">
        <v>1001</v>
      </c>
      <c r="C9" s="187">
        <f>INDEX($C$78:$E$78,MATCH($C$2,$C$76:$E$76,0))</f>
        <v>9.11E-2</v>
      </c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67"/>
      <c r="V9" s="67"/>
      <c r="W9" s="67"/>
      <c r="X9" s="67"/>
      <c r="Y9" s="67"/>
      <c r="Z9" s="67"/>
    </row>
    <row r="10" spans="1:26" s="7" customFormat="1">
      <c r="A10"/>
      <c r="B10" s="167" t="s">
        <v>1002</v>
      </c>
      <c r="C10" s="189">
        <f>INDEX($C$82:$E$82,MATCH($C$2,$C$76:$E$76,0))</f>
        <v>0.11</v>
      </c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67"/>
      <c r="V10" s="67"/>
      <c r="W10" s="67"/>
      <c r="X10" s="67"/>
      <c r="Y10" s="67"/>
      <c r="Z10" s="67"/>
    </row>
    <row r="11" spans="1:26" s="15" customFormat="1">
      <c r="A11"/>
      <c r="B11" s="167" t="s">
        <v>780</v>
      </c>
      <c r="C11" s="190">
        <f>INDEX($C$83:$E$83,MATCH($C$2,$C$76:$E$76,0))</f>
        <v>0.2</v>
      </c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67"/>
      <c r="V11" s="67"/>
      <c r="W11" s="67"/>
      <c r="X11" s="67"/>
      <c r="Y11" s="67"/>
      <c r="Z11" s="67"/>
    </row>
    <row r="12" spans="1:26" s="7" customFormat="1">
      <c r="A12"/>
      <c r="B12" s="167" t="s">
        <v>1003</v>
      </c>
      <c r="C12" s="191">
        <f>INDEX($C$84:$E$84,MATCH($C$2,$C$76:$E$76,0))</f>
        <v>0.35</v>
      </c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67"/>
      <c r="V12" s="67"/>
      <c r="W12" s="67"/>
      <c r="X12" s="67"/>
      <c r="Y12" s="67"/>
      <c r="Z12" s="67"/>
    </row>
    <row r="13" spans="1:26" s="7" customFormat="1">
      <c r="A13"/>
      <c r="B13" s="167" t="s">
        <v>1004</v>
      </c>
      <c r="C13" s="192">
        <f>INDEX($C$79:$E$79,MATCH($C$2,$C$76:$E$76,0))</f>
        <v>2.5000000000000001E-2</v>
      </c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67"/>
      <c r="V13" s="67"/>
      <c r="W13" s="67"/>
      <c r="X13" s="67"/>
      <c r="Y13" s="67"/>
      <c r="Z13" s="67"/>
    </row>
    <row r="14" spans="1:26" s="7" customFormat="1">
      <c r="A14"/>
      <c r="B14" s="167" t="s">
        <v>1005</v>
      </c>
      <c r="C14" s="193">
        <f>IPc_Others!H4</f>
        <v>9990</v>
      </c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67"/>
      <c r="V14" s="67"/>
      <c r="W14" s="67"/>
      <c r="X14" s="67"/>
      <c r="Y14" s="67"/>
      <c r="Z14" s="67"/>
    </row>
    <row r="15" spans="1:26" s="22" customFormat="1">
      <c r="A15"/>
      <c r="B15" s="167" t="s">
        <v>1006</v>
      </c>
      <c r="C15" s="194">
        <f>IPc_Others!G50</f>
        <v>191.80203499999999</v>
      </c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67"/>
      <c r="V15" s="67"/>
      <c r="W15" s="67"/>
      <c r="X15" s="67"/>
      <c r="Y15" s="67"/>
      <c r="Z15" s="67"/>
    </row>
    <row r="16" spans="1:26" s="7" customFormat="1">
      <c r="A16"/>
      <c r="B16" s="167"/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67"/>
      <c r="V16" s="67"/>
      <c r="W16" s="67"/>
      <c r="X16" s="67"/>
      <c r="Y16" s="67"/>
      <c r="Z16" s="67"/>
    </row>
    <row r="17" spans="1:26" s="7" customFormat="1">
      <c r="A17"/>
      <c r="B17" s="183" t="s">
        <v>1007</v>
      </c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67"/>
      <c r="V17" s="67"/>
      <c r="W17" s="67"/>
      <c r="X17" s="67"/>
      <c r="Y17" s="67"/>
      <c r="Z17" s="67"/>
    </row>
    <row r="18" spans="1:26" s="15" customFormat="1">
      <c r="A18"/>
      <c r="B18" s="167" t="s">
        <v>1008</v>
      </c>
      <c r="C18" s="195">
        <f>C7+C8*C9</f>
        <v>0.140655</v>
      </c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67"/>
      <c r="V18" s="67"/>
      <c r="W18" s="244"/>
      <c r="X18" s="67"/>
      <c r="Y18" s="67"/>
      <c r="Z18" s="67"/>
    </row>
    <row r="19" spans="1:26" s="7" customFormat="1">
      <c r="A19"/>
      <c r="B19" s="167" t="s">
        <v>1009</v>
      </c>
      <c r="C19" s="195">
        <f>C10*(1-C11)</f>
        <v>8.8000000000000009E-2</v>
      </c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67"/>
      <c r="V19" s="67"/>
      <c r="W19" s="67"/>
      <c r="X19" s="67"/>
      <c r="Y19" s="67"/>
      <c r="Z19" s="67"/>
    </row>
    <row r="20" spans="1:26" s="7" customFormat="1">
      <c r="A20"/>
      <c r="B20" s="196" t="s">
        <v>959</v>
      </c>
      <c r="C20" s="197">
        <f>C18*(1-C12)+C19*C12</f>
        <v>0.12222574999999999</v>
      </c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67"/>
      <c r="V20" s="67"/>
      <c r="W20" s="67"/>
      <c r="X20" s="67"/>
      <c r="Y20" s="67"/>
      <c r="Z20" s="67"/>
    </row>
    <row r="21" spans="1:26" s="7" customFormat="1">
      <c r="A21"/>
      <c r="B21" s="167" t="s">
        <v>1010</v>
      </c>
      <c r="C21" s="198">
        <f ca="1">(DATE(YEAR(C4),12,31)-C4)/365</f>
        <v>0.68219178082191778</v>
      </c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67"/>
      <c r="V21" s="67"/>
      <c r="W21" s="67"/>
      <c r="X21" s="67"/>
      <c r="Y21" s="67"/>
      <c r="Z21" s="67"/>
    </row>
    <row r="22" spans="1:26" s="7" customFormat="1">
      <c r="A22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67"/>
      <c r="V22" s="67"/>
      <c r="W22" s="67"/>
      <c r="X22" s="67"/>
      <c r="Y22" s="67"/>
      <c r="Z22" s="67"/>
    </row>
    <row r="23" spans="1:26" s="9" customFormat="1">
      <c r="A23"/>
      <c r="B23" s="183" t="s">
        <v>1011</v>
      </c>
      <c r="C23" s="183"/>
      <c r="D23" s="183"/>
      <c r="E23" s="183"/>
      <c r="F23" s="183"/>
      <c r="G23" s="183" t="s">
        <v>1281</v>
      </c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33"/>
      <c r="V23" s="133"/>
      <c r="W23" s="133"/>
      <c r="X23" s="133"/>
      <c r="Y23" s="133"/>
      <c r="Z23" s="133"/>
    </row>
    <row r="24" spans="1:26" s="9" customFormat="1">
      <c r="A24"/>
      <c r="B24" s="199" t="s">
        <v>995</v>
      </c>
      <c r="C24" s="200" t="s">
        <v>671</v>
      </c>
      <c r="G24" s="200">
        <f>OD_IS!H3</f>
        <v>2025</v>
      </c>
      <c r="H24" s="200">
        <f>OD_IS!I3</f>
        <v>2026</v>
      </c>
      <c r="I24" s="200">
        <f>OD_IS!J3</f>
        <v>2027</v>
      </c>
      <c r="J24" s="200">
        <f>OD_IS!K3</f>
        <v>2028</v>
      </c>
      <c r="K24" s="200">
        <f>OD_IS!L3</f>
        <v>2029</v>
      </c>
      <c r="L24" s="200">
        <f>OD_IS!M3</f>
        <v>2030</v>
      </c>
      <c r="M24" s="200">
        <f>OD_IS!N3</f>
        <v>2031</v>
      </c>
      <c r="U24" s="133"/>
      <c r="V24" s="133"/>
      <c r="W24" s="133"/>
      <c r="X24" s="133"/>
      <c r="Y24" s="133"/>
      <c r="Z24" s="133"/>
    </row>
    <row r="25" spans="1:26" s="7" customFormat="1">
      <c r="A25"/>
      <c r="B25" s="201" t="s">
        <v>1029</v>
      </c>
      <c r="C25" s="202" t="s">
        <v>673</v>
      </c>
      <c r="G25" s="203">
        <f>OD_IS!H21/1000000000</f>
        <v>82.353088776999996</v>
      </c>
      <c r="H25" s="203">
        <f>OD_IS!I21/1000000000</f>
        <v>80.780514835351283</v>
      </c>
      <c r="I25" s="203">
        <f>OD_IS!J21/1000000000</f>
        <v>109.31594739813472</v>
      </c>
      <c r="J25" s="203">
        <f>OD_IS!K21/1000000000</f>
        <v>161.30702823235853</v>
      </c>
      <c r="K25" s="203">
        <f>OD_IS!L21/1000000000</f>
        <v>227.48231573977461</v>
      </c>
      <c r="L25" s="203">
        <f>OD_IS!M21/1000000000</f>
        <v>285.35400374499528</v>
      </c>
      <c r="M25" s="203">
        <f>OD_IS!N21/1000000000</f>
        <v>301.12271139412439</v>
      </c>
      <c r="U25" s="167"/>
      <c r="V25" s="167"/>
      <c r="W25" s="167"/>
      <c r="X25" s="167"/>
      <c r="Y25" s="167"/>
      <c r="Z25" s="204">
        <f>OD_IS!T21/1000000000</f>
        <v>0</v>
      </c>
    </row>
    <row r="26" spans="1:26" s="9" customFormat="1">
      <c r="A26"/>
      <c r="B26" s="201" t="s">
        <v>1030</v>
      </c>
      <c r="C26" s="202" t="s">
        <v>673</v>
      </c>
      <c r="G26" s="203">
        <f>OD_CF!H6/1000000000</f>
        <v>0</v>
      </c>
      <c r="H26" s="203">
        <f>OD_CF!I6/1000000000</f>
        <v>250</v>
      </c>
      <c r="I26" s="203">
        <f>OD_CF!J6/1000000000</f>
        <v>262.5</v>
      </c>
      <c r="J26" s="203">
        <f>OD_CF!K6/1000000000</f>
        <v>275.625</v>
      </c>
      <c r="K26" s="203">
        <f>OD_CF!L6/1000000000</f>
        <v>289.40625</v>
      </c>
      <c r="L26" s="203">
        <f>OD_CF!M6/1000000000</f>
        <v>303.87656250000003</v>
      </c>
      <c r="M26" s="203">
        <f>OD_CF!N6/1000000000</f>
        <v>319.07039062500007</v>
      </c>
      <c r="U26" s="167"/>
      <c r="V26" s="167"/>
      <c r="W26" s="167"/>
      <c r="X26" s="167"/>
      <c r="Y26" s="167"/>
      <c r="Z26" s="204">
        <f>OD_CF!T6/1000000000</f>
        <v>0</v>
      </c>
    </row>
    <row r="27" spans="1:26" s="9" customFormat="1">
      <c r="A27"/>
      <c r="B27" s="201" t="s">
        <v>1031</v>
      </c>
      <c r="C27" s="202" t="s">
        <v>673</v>
      </c>
      <c r="G27" s="203">
        <f>OD_CF!H10/1000000000</f>
        <v>-98.219383902999994</v>
      </c>
      <c r="H27" s="203">
        <f>OD_CF!I10/1000000000</f>
        <v>-127.84692008415601</v>
      </c>
      <c r="I27" s="203">
        <f>OD_CF!J10/1000000000</f>
        <v>-129.9777020855586</v>
      </c>
      <c r="J27" s="203">
        <f>OD_CF!K10/1000000000</f>
        <v>-119.57948591871391</v>
      </c>
      <c r="K27" s="203">
        <f>OD_CF!L10/1000000000</f>
        <v>-132.73322936977246</v>
      </c>
      <c r="L27" s="203">
        <f>OD_CF!M10/1000000000</f>
        <v>-143.35188771935424</v>
      </c>
      <c r="M27" s="203">
        <f>OD_CF!N10/1000000000</f>
        <v>-150.51948210532197</v>
      </c>
      <c r="U27" s="167"/>
      <c r="V27" s="167"/>
      <c r="W27" s="167"/>
      <c r="X27" s="167"/>
      <c r="Y27" s="167"/>
      <c r="Z27" s="205">
        <f>OD_CF!T10/1000000000</f>
        <v>0</v>
      </c>
    </row>
    <row r="28" spans="1:26" s="7" customFormat="1">
      <c r="A28"/>
      <c r="B28" s="201" t="s">
        <v>1032</v>
      </c>
      <c r="C28" s="202" t="s">
        <v>673</v>
      </c>
      <c r="G28" s="203">
        <f>OD_BS!H36/1000000000</f>
        <v>-359.13644975400001</v>
      </c>
      <c r="H28" s="203">
        <f>OD_BS!I36/1000000000</f>
        <v>866.06694929176297</v>
      </c>
      <c r="I28" s="203">
        <f>OD_BS!J36/1000000000</f>
        <v>91.669279911458588</v>
      </c>
      <c r="J28" s="203">
        <f>OD_BS!K36/1000000000</f>
        <v>59.081479511376571</v>
      </c>
      <c r="K28" s="203">
        <f>OD_BS!L36/1000000000</f>
        <v>79.628940164350809</v>
      </c>
      <c r="L28" s="203">
        <f>OD_BS!M36/1000000000</f>
        <v>-1.2586647343406678</v>
      </c>
      <c r="M28" s="203">
        <f>OD_BS!N36/1000000000</f>
        <v>0.19158318028020477</v>
      </c>
      <c r="U28" s="167"/>
      <c r="V28" s="167"/>
      <c r="W28" s="167"/>
      <c r="X28" s="167"/>
      <c r="Y28" s="167"/>
      <c r="Z28" s="205">
        <f>OD_BS!T36/1000000000</f>
        <v>0</v>
      </c>
    </row>
    <row r="29" spans="1:26" s="7" customFormat="1" ht="15" thickBot="1">
      <c r="A29"/>
      <c r="B29" s="201" t="s">
        <v>1033</v>
      </c>
      <c r="C29" s="202" t="s">
        <v>673</v>
      </c>
      <c r="G29" s="203">
        <f>-OD_IS!H12*(1-OD_IS!H20)/1000000000</f>
        <v>21.408823070312692</v>
      </c>
      <c r="H29" s="203">
        <f>-OD_IS!I12*(1-OD_IS!I20)/1000000000</f>
        <v>30.020149237584004</v>
      </c>
      <c r="I29" s="203">
        <f>-OD_IS!J12*(1-OD_IS!J20)/1000000000</f>
        <v>30.020149237584004</v>
      </c>
      <c r="J29" s="203">
        <f>-OD_IS!K12*(1-OD_IS!K20)/1000000000</f>
        <v>30.020149237584004</v>
      </c>
      <c r="K29" s="203">
        <f>-OD_IS!L12*(1-OD_IS!L20)/1000000000</f>
        <v>30.020149237584004</v>
      </c>
      <c r="L29" s="203">
        <f>-OD_IS!M12*(1-OD_IS!M20)/1000000000</f>
        <v>30.020149237584004</v>
      </c>
      <c r="M29" s="203">
        <f>-OD_IS!N12*(1-OD_IS!N20)/1000000000</f>
        <v>30.020149237584004</v>
      </c>
      <c r="U29" s="167"/>
      <c r="V29" s="167"/>
      <c r="W29" s="167"/>
      <c r="X29" s="167"/>
      <c r="Y29" s="167"/>
      <c r="Z29" s="204">
        <f>-OD_IS!T12*(1-OD_IS!T20)/1000000000</f>
        <v>0</v>
      </c>
    </row>
    <row r="30" spans="1:26" s="15" customFormat="1">
      <c r="A30"/>
      <c r="B30" s="206" t="s">
        <v>1034</v>
      </c>
      <c r="C30" s="207" t="s">
        <v>673</v>
      </c>
      <c r="G30" s="209">
        <f>SUM(G25:G29)</f>
        <v>-353.59392180968734</v>
      </c>
      <c r="H30" s="209">
        <f>SUM(H25:H29)</f>
        <v>1099.0206932805422</v>
      </c>
      <c r="I30" s="209">
        <f t="shared" ref="I30:M30" si="0">SUM(I25:I29)</f>
        <v>363.52767446161869</v>
      </c>
      <c r="J30" s="209">
        <f t="shared" si="0"/>
        <v>406.45417106260527</v>
      </c>
      <c r="K30" s="209">
        <f t="shared" si="0"/>
        <v>493.80442577193691</v>
      </c>
      <c r="L30" s="209">
        <f t="shared" si="0"/>
        <v>474.64016302888444</v>
      </c>
      <c r="M30" s="209">
        <f t="shared" si="0"/>
        <v>499.8853523316667</v>
      </c>
      <c r="U30" s="167"/>
      <c r="V30" s="167"/>
      <c r="W30" s="167"/>
      <c r="X30" s="167"/>
      <c r="Y30" s="167"/>
      <c r="Z30" s="205">
        <f>SUM(Z25:Z29)</f>
        <v>0</v>
      </c>
    </row>
    <row r="31" spans="1:26" s="15" customFormat="1">
      <c r="A31"/>
      <c r="B31" s="167"/>
      <c r="C31" s="167"/>
      <c r="G31" s="167"/>
      <c r="H31" s="167"/>
      <c r="I31" s="167"/>
      <c r="J31" s="167"/>
      <c r="K31" s="167"/>
      <c r="L31" s="167"/>
      <c r="M31" s="167"/>
      <c r="U31" s="67"/>
      <c r="V31" s="67"/>
      <c r="W31" s="67"/>
      <c r="X31" s="67"/>
      <c r="Y31" s="67"/>
      <c r="Z31" s="67"/>
    </row>
    <row r="32" spans="1:26" s="7" customFormat="1">
      <c r="A32"/>
      <c r="B32" s="201" t="s">
        <v>1035</v>
      </c>
      <c r="C32" s="202" t="s">
        <v>1036</v>
      </c>
      <c r="G32" s="210">
        <f t="shared" ref="G32:M32" ca="1" si="1">$C$21+(COLUMN(G32)-COLUMN($G$32))</f>
        <v>0.68219178082191778</v>
      </c>
      <c r="H32" s="210">
        <f t="shared" ca="1" si="1"/>
        <v>1.6821917808219178</v>
      </c>
      <c r="I32" s="210">
        <f t="shared" ca="1" si="1"/>
        <v>2.6821917808219178</v>
      </c>
      <c r="J32" s="210">
        <f t="shared" ca="1" si="1"/>
        <v>3.6821917808219178</v>
      </c>
      <c r="K32" s="210">
        <f t="shared" ca="1" si="1"/>
        <v>4.6821917808219178</v>
      </c>
      <c r="L32" s="210">
        <f t="shared" ca="1" si="1"/>
        <v>5.6821917808219178</v>
      </c>
      <c r="M32" s="210">
        <f t="shared" ca="1" si="1"/>
        <v>6.6821917808219178</v>
      </c>
      <c r="U32" s="167"/>
      <c r="V32" s="167"/>
      <c r="W32" s="167"/>
      <c r="X32" s="167"/>
      <c r="Y32" s="167"/>
      <c r="Z32" s="211">
        <f ca="1">$C$21+(COLUMN(Z32)-COLUMN($G$32))</f>
        <v>19.682191780821917</v>
      </c>
    </row>
    <row r="33" spans="1:26" s="7" customFormat="1" ht="15" thickBot="1">
      <c r="A33"/>
      <c r="B33" s="201" t="s">
        <v>1037</v>
      </c>
      <c r="C33" s="202" t="s">
        <v>1038</v>
      </c>
      <c r="G33" s="212">
        <f ca="1">(1+$C$20)^G32</f>
        <v>1.0818432033944816</v>
      </c>
      <c r="H33" s="212">
        <f t="shared" ref="H33:M33" ca="1" si="2">(1+$C$20)^H32</f>
        <v>1.2140723003117744</v>
      </c>
      <c r="I33" s="212">
        <f t="shared" ca="1" si="2"/>
        <v>1.3624631977716062</v>
      </c>
      <c r="J33" s="212">
        <f t="shared" ca="1" si="2"/>
        <v>1.5289912839666389</v>
      </c>
      <c r="K33" s="212">
        <f t="shared" ca="1" si="2"/>
        <v>1.7158733903929242</v>
      </c>
      <c r="L33" s="212">
        <f t="shared" ca="1" si="2"/>
        <v>1.9255973024387421</v>
      </c>
      <c r="M33" s="212">
        <f t="shared" ca="1" si="2"/>
        <v>2.1609548769272942</v>
      </c>
      <c r="U33" s="167"/>
      <c r="V33" s="167"/>
      <c r="W33" s="167"/>
      <c r="X33" s="167"/>
      <c r="Y33" s="167"/>
      <c r="Z33" s="211">
        <f ca="1">(1+$C$20)^Z32</f>
        <v>9.6758401037744814</v>
      </c>
    </row>
    <row r="34" spans="1:26" s="7" customFormat="1">
      <c r="A34"/>
      <c r="B34" s="206" t="s">
        <v>1039</v>
      </c>
      <c r="C34" s="207" t="s">
        <v>673</v>
      </c>
      <c r="G34" s="209">
        <f ca="1">G30/G33</f>
        <v>-326.84396472633142</v>
      </c>
      <c r="H34" s="209">
        <f ca="1">H30/H33</f>
        <v>905.23496252926054</v>
      </c>
      <c r="I34" s="209">
        <f t="shared" ref="I34:M34" ca="1" si="3">I30/I33</f>
        <v>266.81650928714328</v>
      </c>
      <c r="J34" s="209">
        <f t="shared" ca="1" si="3"/>
        <v>265.83158146470748</v>
      </c>
      <c r="K34" s="209">
        <f t="shared" ca="1" si="3"/>
        <v>287.78605026263551</v>
      </c>
      <c r="L34" s="209">
        <f t="shared" ca="1" si="3"/>
        <v>246.48983586950362</v>
      </c>
      <c r="M34" s="209">
        <f t="shared" ca="1" si="3"/>
        <v>231.3261408967798</v>
      </c>
      <c r="U34" s="167"/>
      <c r="V34" s="167"/>
      <c r="W34" s="167"/>
      <c r="X34" s="167"/>
      <c r="Y34" s="167"/>
      <c r="Z34" s="205">
        <f ca="1">Z30/Z33</f>
        <v>0</v>
      </c>
    </row>
    <row r="35" spans="1:26" s="15" customFormat="1">
      <c r="A35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67"/>
      <c r="V35" s="67"/>
      <c r="W35" s="67"/>
      <c r="X35" s="67"/>
      <c r="Y35" s="67"/>
      <c r="Z35" s="67"/>
    </row>
    <row r="36" spans="1:26" s="7" customFormat="1">
      <c r="A36"/>
      <c r="B36" s="183" t="s">
        <v>1040</v>
      </c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67"/>
      <c r="V36" s="67"/>
      <c r="W36" s="67"/>
      <c r="X36" s="67"/>
      <c r="Y36" s="67"/>
      <c r="Z36" s="67"/>
    </row>
    <row r="37" spans="1:26" s="7" customFormat="1">
      <c r="A37"/>
      <c r="B37" s="196" t="s">
        <v>1041</v>
      </c>
      <c r="C37" s="213">
        <f ca="1">SUM(G34:M34)*(1+INDEX($C$80:$E$80,MATCH($C$2,$C$76:$E$76,0)))</f>
        <v>1829.7250876941064</v>
      </c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67"/>
      <c r="V37" s="67"/>
      <c r="W37" s="67"/>
      <c r="X37" s="67"/>
      <c r="Y37" s="67"/>
      <c r="Z37" s="67"/>
    </row>
    <row r="38" spans="1:26" s="7" customFormat="1">
      <c r="A38"/>
      <c r="B38" s="167" t="s">
        <v>1042</v>
      </c>
      <c r="C38" s="214">
        <f>M30*(1+INDEX($C$80:$E$80,MATCH($C$2,$C$76:$E$76,0)))*(1+C13)/(C20-C13)</f>
        <v>5138.2779149192411</v>
      </c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67"/>
      <c r="V38" s="67"/>
      <c r="W38" s="67"/>
      <c r="X38" s="67"/>
      <c r="Y38" s="67"/>
      <c r="Z38" s="67"/>
    </row>
    <row r="39" spans="1:26" s="7" customFormat="1" ht="15" thickBot="1">
      <c r="A39"/>
      <c r="B39" s="167" t="s">
        <v>1043</v>
      </c>
      <c r="C39" s="214">
        <f ca="1">C38/M33</f>
        <v>2377.7812159712762</v>
      </c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67"/>
      <c r="V39" s="67"/>
      <c r="W39" s="67"/>
      <c r="X39" s="67"/>
      <c r="Y39" s="67"/>
      <c r="Z39" s="67"/>
    </row>
    <row r="40" spans="1:26" s="7" customFormat="1">
      <c r="A40"/>
      <c r="B40" s="208" t="s">
        <v>1044</v>
      </c>
      <c r="C40" s="215">
        <f ca="1">C37+C39</f>
        <v>4207.5063036653828</v>
      </c>
      <c r="D40" s="208"/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67"/>
      <c r="V40" s="67"/>
      <c r="W40" s="67"/>
      <c r="X40" s="67"/>
      <c r="Y40" s="67"/>
      <c r="Z40" s="67"/>
    </row>
    <row r="41" spans="1:26" s="7" customFormat="1">
      <c r="A41"/>
      <c r="B41" s="201" t="s">
        <v>1045</v>
      </c>
      <c r="C41" s="214">
        <f>OD_BS!G6/1000000000</f>
        <v>136.236074178</v>
      </c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67"/>
      <c r="V41" s="67"/>
      <c r="W41" s="67"/>
      <c r="X41" s="67"/>
      <c r="Y41" s="67"/>
      <c r="Z41" s="67"/>
    </row>
    <row r="42" spans="1:26" s="57" customFormat="1" ht="15.6">
      <c r="A42"/>
      <c r="B42" s="201" t="s">
        <v>1046</v>
      </c>
      <c r="C42" s="214">
        <f>OD_BS!G7/1000000000</f>
        <v>1.23</v>
      </c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67"/>
      <c r="V42" s="67"/>
      <c r="W42" s="67"/>
      <c r="X42" s="67"/>
      <c r="Y42" s="67"/>
      <c r="Z42" s="67"/>
    </row>
    <row r="43" spans="1:26" s="7" customFormat="1">
      <c r="A43"/>
      <c r="B43" s="201" t="s">
        <v>1047</v>
      </c>
      <c r="C43" s="214">
        <f>OD_BS!G16/1000000000</f>
        <v>111.178423767</v>
      </c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67"/>
      <c r="V43" s="67"/>
      <c r="W43" s="67"/>
      <c r="X43" s="67"/>
      <c r="Y43" s="67"/>
      <c r="Z43" s="67"/>
    </row>
    <row r="44" spans="1:26" s="15" customFormat="1">
      <c r="A44"/>
      <c r="B44" s="201" t="s">
        <v>1048</v>
      </c>
      <c r="C44" s="214">
        <f>-(OD_BS!G21+OD_BS!G24)/1000000000</f>
        <v>-577.37015723800005</v>
      </c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67"/>
      <c r="V44" s="67"/>
      <c r="W44" s="67"/>
      <c r="X44" s="67"/>
      <c r="Y44" s="67"/>
      <c r="Z44" s="67"/>
    </row>
    <row r="45" spans="1:26" s="7" customFormat="1" ht="15" thickBot="1">
      <c r="A45"/>
      <c r="B45" s="201" t="s">
        <v>1049</v>
      </c>
      <c r="C45" s="214">
        <f>-OD_BS!G31/1000000000</f>
        <v>-57.068805838999999</v>
      </c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67"/>
      <c r="V45" s="67"/>
      <c r="W45" s="67"/>
      <c r="X45" s="67"/>
      <c r="Y45" s="67"/>
      <c r="Z45" s="67"/>
    </row>
    <row r="46" spans="1:26" s="7" customFormat="1">
      <c r="A46"/>
      <c r="B46" s="206" t="s">
        <v>1050</v>
      </c>
      <c r="C46" s="215">
        <f ca="1">C40+C41+C42+C43+C44+C45</f>
        <v>3821.7118385333824</v>
      </c>
      <c r="D46" s="208"/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67"/>
      <c r="V46" s="67"/>
      <c r="W46" s="67"/>
      <c r="X46" s="67"/>
      <c r="Y46" s="67"/>
      <c r="Z46" s="67"/>
    </row>
    <row r="47" spans="1:26" s="7" customFormat="1">
      <c r="A47"/>
      <c r="B47" s="201" t="s">
        <v>1006</v>
      </c>
      <c r="C47" s="216">
        <f>C15</f>
        <v>191.80203499999999</v>
      </c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67"/>
      <c r="V47" s="67"/>
      <c r="W47" s="67"/>
      <c r="X47" s="67"/>
      <c r="Y47" s="67"/>
      <c r="Z47" s="67"/>
    </row>
    <row r="48" spans="1:26" s="7" customFormat="1">
      <c r="A48"/>
      <c r="B48" s="217" t="s">
        <v>1051</v>
      </c>
      <c r="C48" s="218">
        <f ca="1">C46/C47*1000</f>
        <v>19925.293485720224</v>
      </c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67"/>
      <c r="V48" s="67"/>
      <c r="W48" s="67"/>
      <c r="X48" s="67"/>
      <c r="Y48" s="67"/>
      <c r="Z48" s="67"/>
    </row>
    <row r="49" spans="1:26" s="7" customFormat="1">
      <c r="A49"/>
      <c r="B49" s="201" t="s">
        <v>1052</v>
      </c>
      <c r="C49" s="219">
        <f>C14</f>
        <v>9990</v>
      </c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67"/>
      <c r="V49" s="67"/>
      <c r="W49" s="67"/>
      <c r="X49" s="67"/>
      <c r="Y49" s="67"/>
      <c r="Z49" s="67"/>
    </row>
    <row r="50" spans="1:26" s="7" customFormat="1">
      <c r="A50"/>
      <c r="B50" s="217" t="s">
        <v>1053</v>
      </c>
      <c r="C50" s="197">
        <f ca="1">C48/C49-1</f>
        <v>0.99452387244446672</v>
      </c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  <c r="U50" s="67"/>
      <c r="V50" s="67"/>
      <c r="W50" s="67"/>
      <c r="X50" s="67"/>
      <c r="Y50" s="67"/>
      <c r="Z50" s="67"/>
    </row>
    <row r="51" spans="1:26" s="59" customFormat="1" ht="24.75" customHeight="1">
      <c r="A51"/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71"/>
      <c r="V51" s="171"/>
      <c r="W51" s="171"/>
      <c r="X51" s="171"/>
      <c r="Y51" s="171"/>
      <c r="Z51" s="171"/>
    </row>
    <row r="52" spans="1:26" ht="20.25" customHeight="1">
      <c r="B52" s="183" t="s">
        <v>1216</v>
      </c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65"/>
      <c r="V52" s="165"/>
      <c r="W52" s="165"/>
      <c r="X52" s="165"/>
      <c r="Y52" s="165"/>
      <c r="Z52" s="165"/>
    </row>
    <row r="53" spans="1:26" ht="20.25" customHeight="1"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</row>
    <row r="54" spans="1:26" ht="20.25" customHeight="1">
      <c r="B54" s="183" t="s">
        <v>1217</v>
      </c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65"/>
      <c r="V54" s="165"/>
      <c r="W54" s="165"/>
      <c r="X54" s="165"/>
      <c r="Y54" s="165"/>
      <c r="Z54" s="165"/>
    </row>
    <row r="55" spans="1:26" ht="20.25" customHeight="1">
      <c r="B55" s="220" t="s">
        <v>1218</v>
      </c>
      <c r="C55" s="221">
        <f>$C$13-0.015</f>
        <v>1.0000000000000002E-2</v>
      </c>
      <c r="D55" s="221">
        <f>$C$13-0.01</f>
        <v>1.5000000000000001E-2</v>
      </c>
      <c r="E55" s="221">
        <f>$C$13-0.005</f>
        <v>0.02</v>
      </c>
      <c r="F55" s="222">
        <f>$C$13</f>
        <v>2.5000000000000001E-2</v>
      </c>
      <c r="G55" s="221">
        <f>$C$13+0.005</f>
        <v>3.0000000000000002E-2</v>
      </c>
      <c r="H55" s="221">
        <f>$C$13+0.01</f>
        <v>3.5000000000000003E-2</v>
      </c>
      <c r="I55" s="221">
        <f>$C$13+0.015</f>
        <v>0.04</v>
      </c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</row>
    <row r="56" spans="1:26" ht="20.25" customHeight="1">
      <c r="B56" s="221">
        <f>$C$20-0.015</f>
        <v>0.10722574999999999</v>
      </c>
      <c r="C56" s="223" cm="1">
        <f t="array" aca="1" ref="C56" ca="1">((SUMPRODUCT($G$30:$M$30,1/(1+$B56)^$G$32:$M$32) + $M$30*(1+C$55)/($B56-C$55)/(1+$B56)^$M$32) + ($C$46-$C$40))/$C$47*1000/$C$49-1</f>
        <v>1.2029544114158277</v>
      </c>
      <c r="D56" s="223" cm="1">
        <f t="array" aca="1" ref="D56" ca="1">((SUMPRODUCT($G$30:$M$30,1/(1+$B56)^$G$32:$M$32) + $M$30*(1+D$55)/($B56-D$55)/(1+$B56)^$M$32) + ($C$46-$C$40))/$C$47*1000/$C$49-1</f>
        <v>1.2845055024755667</v>
      </c>
      <c r="E56" s="223" cm="1">
        <f t="array" aca="1" ref="E56" ca="1">((SUMPRODUCT($G$30:$M$30,1/(1+$B56)^$G$32:$M$32) + $M$30*(1+E$55)/($B56-E$55)/(1+$B56)^$M$32) + ($C$46-$C$40))/$C$47*1000/$C$49-1</f>
        <v>1.3754060220079456</v>
      </c>
      <c r="F56" s="223" cm="1">
        <f t="array" aca="1" ref="F56" ca="1">((SUMPRODUCT($G$30:$M$30,1/(1+$B56)^$G$32:$M$32) + $M$30*(1+F$55)/($B56-F$55)/(1+$B56)^$M$32) + ($C$46-$C$40))/$C$47*1000/$C$49-1</f>
        <v>1.4773615358130887</v>
      </c>
      <c r="G56" s="223" cm="1">
        <f t="array" aca="1" ref="G56" ca="1">((SUMPRODUCT($G$30:$M$30,1/(1+$B56)^$G$32:$M$32) + $M$30*(1+G$55)/($B56-G$55)/(1+$B56)^$M$32) + ($C$46-$C$40))/$C$47*1000/$C$49-1</f>
        <v>1.5925193187842992</v>
      </c>
      <c r="H56" s="223" cm="1">
        <f t="array" aca="1" ref="H56" ca="1">((SUMPRODUCT($G$30:$M$30,1/(1+$B56)^$G$32:$M$32) + $M$30*(1+H$55)/($B56-H$55)/(1+$B56)^$M$32) + ($C$46-$C$40))/$C$47*1000/$C$49-1</f>
        <v>1.7236212467413647</v>
      </c>
      <c r="I56" s="223" cm="1">
        <f t="array" aca="1" ref="I56" ca="1">((SUMPRODUCT($G$30:$M$30,1/(1+$B56)^$G$32:$M$32) + $M$30*(1+I$55)/($B56-I$55)/(1+$B56)^$M$32) + ($C$46-$C$40))/$C$47*1000/$C$49-1</f>
        <v>1.8742249174022403</v>
      </c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</row>
    <row r="57" spans="1:26" ht="20.25" customHeight="1">
      <c r="B57" s="221">
        <f>$C$20-0.01</f>
        <v>0.11222575</v>
      </c>
      <c r="C57" s="223" cm="1">
        <f t="array" aca="1" ref="C57" ca="1">((SUMPRODUCT($G$30:$M$30,1/(1+$B57)^$G$32:$M$32) + $M$30*(1+C$55)/($B57-C$55)/(1+$B57)^$M$32) + ($C$46-$C$40))/$C$47*1000/$C$49-1</f>
        <v>1.0791158925267501</v>
      </c>
      <c r="D57" s="223" cm="1">
        <f t="array" aca="1" ref="D57" ca="1">((SUMPRODUCT($G$30:$M$30,1/(1+$B57)^$G$32:$M$32) + $M$30*(1+D$55)/($B57-D$55)/(1+$B57)^$M$32) + ($C$46-$C$40))/$C$47*1000/$C$49-1</f>
        <v>1.1508297252128545</v>
      </c>
      <c r="E57" s="223" cm="1">
        <f t="array" aca="1" ref="E57" ca="1">((SUMPRODUCT($G$30:$M$30,1/(1+$B57)^$G$32:$M$32) + $M$30*(1+E$55)/($B57-E$55)/(1+$B57)^$M$32) + ($C$46-$C$40))/$C$47*1000/$C$49-1</f>
        <v>1.2303194591723137</v>
      </c>
      <c r="F57" s="223" cm="1">
        <f t="array" aca="1" ref="F57" ca="1">((SUMPRODUCT($G$30:$M$30,1/(1+$B57)^$G$32:$M$32) + $M$30*(1+F$55)/($B57-F$55)/(1+$B57)^$M$32) + ($C$46-$C$40))/$C$47*1000/$C$49-1</f>
        <v>1.3189222972276911</v>
      </c>
      <c r="G57" s="223" cm="1">
        <f t="array" aca="1" ref="G57" ca="1">((SUMPRODUCT($G$30:$M$30,1/(1+$B57)^$G$32:$M$32) + $M$30*(1+G$55)/($B57-G$55)/(1+$B57)^$M$32) + ($C$46-$C$40))/$C$47*1000/$C$49-1</f>
        <v>1.4183006937979341</v>
      </c>
      <c r="H57" s="223" cm="1">
        <f t="array" aca="1" ref="H57" ca="1">((SUMPRODUCT($G$30:$M$30,1/(1+$B57)^$G$32:$M$32) + $M$30*(1+H$55)/($B57-H$55)/(1+$B57)^$M$32) + ($C$46-$C$40))/$C$47*1000/$C$49-1</f>
        <v>1.5305476473676558</v>
      </c>
      <c r="I57" s="223" cm="1">
        <f t="array" aca="1" ref="I57" ca="1">((SUMPRODUCT($G$30:$M$30,1/(1+$B57)^$G$32:$M$32) + $M$30*(1+I$55)/($B57-I$55)/(1+$B57)^$M$32) + ($C$46-$C$40))/$C$47*1000/$C$49-1</f>
        <v>1.6583357276919934</v>
      </c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</row>
    <row r="58" spans="1:26" ht="20.25" customHeight="1">
      <c r="B58" s="221">
        <f>$C$20-0.005</f>
        <v>0.11722574999999999</v>
      </c>
      <c r="C58" s="223" cm="1">
        <f t="array" aca="1" ref="C58" ca="1">((SUMPRODUCT($G$30:$M$30,1/(1+$B58)^$G$32:$M$32) + $M$30*(1+C$55)/($B58-C$55)/(1+$B58)^$M$32) + ($C$46-$C$40))/$C$47*1000/$C$49-1</f>
        <v>0.96683801402777725</v>
      </c>
      <c r="D58" s="223" cm="1">
        <f t="array" aca="1" ref="D58" ca="1">((SUMPRODUCT($G$30:$M$30,1/(1+$B58)^$G$32:$M$32) + $M$30*(1+D$55)/($B58-D$55)/(1+$B58)^$M$32) + ($C$46-$C$40))/$C$47*1000/$C$49-1</f>
        <v>1.0302273617491848</v>
      </c>
      <c r="E58" s="223" cm="1">
        <f t="array" aca="1" ref="E58" ca="1">((SUMPRODUCT($G$30:$M$30,1/(1+$B58)^$G$32:$M$32) + $M$30*(1+E$55)/($B58-E$55)/(1+$B58)^$M$32) + ($C$46-$C$40))/$C$47*1000/$C$49-1</f>
        <v>1.1001365200888102</v>
      </c>
      <c r="F58" s="223" cm="1">
        <f t="array" aca="1" ref="F58" ca="1">((SUMPRODUCT($G$30:$M$30,1/(1+$B58)^$G$32:$M$32) + $M$30*(1+F$55)/($B58-F$55)/(1+$B58)^$M$32) + ($C$46-$C$40))/$C$47*1000/$C$49-1</f>
        <v>1.1776258996074027</v>
      </c>
      <c r="G58" s="223" cm="1">
        <f t="array" aca="1" ref="G58" ca="1">((SUMPRODUCT($G$30:$M$30,1/(1+$B58)^$G$32:$M$32) + $M$30*(1+G$55)/($B58-G$55)/(1+$B58)^$M$32) + ($C$46-$C$40))/$C$47*1000/$C$49-1</f>
        <v>1.2639990524978035</v>
      </c>
      <c r="H58" s="223" cm="1">
        <f t="array" aca="1" ref="H58" ca="1">((SUMPRODUCT($G$30:$M$30,1/(1+$B58)^$G$32:$M$32) + $M$30*(1+H$55)/($B58-H$55)/(1+$B58)^$M$32) + ($C$46-$C$40))/$C$47*1000/$C$49-1</f>
        <v>1.3608765976120996</v>
      </c>
      <c r="I58" s="223" cm="1">
        <f t="array" aca="1" ref="I58" ca="1">((SUMPRODUCT($G$30:$M$30,1/(1+$B58)^$G$32:$M$32) + $M$30*(1+I$55)/($B58-I$55)/(1+$B58)^$M$32) + ($C$46-$C$40))/$C$47*1000/$C$49-1</f>
        <v>1.4702988632521667</v>
      </c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</row>
    <row r="59" spans="1:26" ht="20.25" customHeight="1">
      <c r="B59" s="222">
        <f>$C$20</f>
        <v>0.12222574999999999</v>
      </c>
      <c r="C59" s="223" cm="1">
        <f t="array" aca="1" ref="C59" ca="1">((SUMPRODUCT($G$30:$M$30,1/(1+$B59)^$G$32:$M$32) + $M$30*(1+C$55)/($B59-C$55)/(1+$B59)^$M$32) + ($C$46-$C$40))/$C$47*1000/$C$49-1</f>
        <v>0.86457498554245293</v>
      </c>
      <c r="D59" s="223" cm="1">
        <f t="array" aca="1" ref="D59" ca="1">((SUMPRODUCT($G$30:$M$30,1/(1+$B59)^$G$32:$M$32) + $M$30*(1+D$55)/($B59-D$55)/(1+$B59)^$M$32) + ($C$46-$C$40))/$C$47*1000/$C$49-1</f>
        <v>0.92086931347515488</v>
      </c>
      <c r="E59" s="223" cm="1">
        <f t="array" aca="1" ref="E59" ca="1">((SUMPRODUCT($G$30:$M$30,1/(1+$B59)^$G$32:$M$32) + $M$30*(1+E$55)/($B59-E$55)/(1+$B59)^$M$32) + ($C$46-$C$40))/$C$47*1000/$C$49-1</f>
        <v>0.98267050518070409</v>
      </c>
      <c r="F59" s="224" cm="1">
        <f t="array" aca="1" ref="F59" ca="1">((SUMPRODUCT($G$30:$M$30,1/(1+$B59)^$G$32:$M$32) + $M$30*(1+F$55)/($B59-F$55)/(1+$B59)^$M$32) + ($C$46-$C$40))/$C$47*1000/$C$49-1</f>
        <v>1.0508281602414384</v>
      </c>
      <c r="G59" s="223" cm="1">
        <f t="array" aca="1" ref="G59" ca="1">((SUMPRODUCT($G$30:$M$30,1/(1+$B59)^$G$32:$M$32) + $M$30*(1+G$55)/($B59-G$55)/(1+$B59)^$M$32) + ($C$46-$C$40))/$C$47*1000/$C$49-1</f>
        <v>1.1263761217036645</v>
      </c>
      <c r="H59" s="223" cm="1">
        <f t="array" aca="1" ref="H59" ca="1">((SUMPRODUCT($G$30:$M$30,1/(1+$B59)^$G$32:$M$32) + $M$30*(1+H$55)/($B59-H$55)/(1+$B59)^$M$32) + ($C$46-$C$40))/$C$47*1000/$C$49-1</f>
        <v>1.210585282578017</v>
      </c>
      <c r="I59" s="223" cm="1">
        <f t="array" aca="1" ref="I59" ca="1">((SUMPRODUCT($G$30:$M$30,1/(1+$B59)^$G$32:$M$32) + $M$30*(1+I$55)/($B59-I$55)/(1+$B59)^$M$32) + ($C$46-$C$40))/$C$47*1000/$C$49-1</f>
        <v>1.3050356587498095</v>
      </c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</row>
    <row r="60" spans="1:26" ht="20.25" customHeight="1">
      <c r="B60" s="221">
        <f>$C$20+0.005</f>
        <v>0.12722575</v>
      </c>
      <c r="C60" s="223" cm="1">
        <f t="array" aca="1" ref="C60" ca="1">((SUMPRODUCT($G$30:$M$30,1/(1+$B60)^$G$32:$M$32) + $M$30*(1+C$55)/($B60-C$55)/(1+$B60)^$M$32) + ($C$46-$C$40))/$C$47*1000/$C$49-1</f>
        <v>0.77104478025816303</v>
      </c>
      <c r="D60" s="223" cm="1">
        <f t="array" aca="1" ref="D60" ca="1">((SUMPRODUCT($G$30:$M$30,1/(1+$B60)^$G$32:$M$32) + $M$30*(1+D$55)/($B60-D$55)/(1+$B60)^$M$32) + ($C$46-$C$40))/$C$47*1000/$C$49-1</f>
        <v>0.82125247314804772</v>
      </c>
      <c r="E60" s="223" cm="1">
        <f t="array" aca="1" ref="E60" ca="1">((SUMPRODUCT($G$30:$M$30,1/(1+$B60)^$G$32:$M$32) + $M$30*(1+E$55)/($B60-E$55)/(1+$B60)^$M$32) + ($C$46-$C$40))/$C$47*1000/$C$49-1</f>
        <v>0.87614259473531897</v>
      </c>
      <c r="F60" s="223" cm="1">
        <f t="array" aca="1" ref="F60" ca="1">((SUMPRODUCT($G$30:$M$30,1/(1+$B60)^$G$32:$M$32) + $M$30*(1+F$55)/($B60-F$55)/(1+$B60)^$M$32) + ($C$46-$C$40))/$C$47*1000/$C$49-1</f>
        <v>0.93640221682390967</v>
      </c>
      <c r="G60" s="223" cm="1">
        <f t="array" aca="1" ref="G60" ca="1">((SUMPRODUCT($G$30:$M$30,1/(1+$B60)^$G$32:$M$32) + $M$30*(1+G$55)/($B60-G$55)/(1+$B60)^$M$32) + ($C$46-$C$40))/$C$47*1000/$C$49-1</f>
        <v>1.0028597465746776</v>
      </c>
      <c r="H60" s="223" cm="1">
        <f t="array" aca="1" ref="H60" ca="1">((SUMPRODUCT($G$30:$M$30,1/(1+$B60)^$G$32:$M$32) + $M$30*(1+H$55)/($B60-H$55)/(1+$B60)^$M$32) + ($C$46-$C$40))/$C$47*1000/$C$49-1</f>
        <v>1.0765232388414203</v>
      </c>
      <c r="I60" s="223" cm="1">
        <f t="array" aca="1" ref="I60" ca="1">((SUMPRODUCT($G$30:$M$30,1/(1+$B60)^$G$32:$M$32) + $M$30*(1+I$55)/($B60-I$55)/(1+$B60)^$M$32) + ($C$46-$C$40))/$C$47*1000/$C$49-1</f>
        <v>1.1586318854653044</v>
      </c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</row>
    <row r="61" spans="1:26" ht="20.25" customHeight="1">
      <c r="B61" s="221">
        <f>$C$20+0.01</f>
        <v>0.13222575</v>
      </c>
      <c r="C61" s="223" cm="1">
        <f t="array" aca="1" ref="C61" ca="1">((SUMPRODUCT($G$30:$M$30,1/(1+$B61)^$G$32:$M$32) + $M$30*(1+C$55)/($B61-C$55)/(1+$B61)^$M$32) + ($C$46-$C$40))/$C$47*1000/$C$49-1</f>
        <v>0.68517518315203207</v>
      </c>
      <c r="D61" s="223" cm="1">
        <f t="array" aca="1" ref="D61" ca="1">((SUMPRODUCT($G$30:$M$30,1/(1+$B61)^$G$32:$M$32) + $M$30*(1+D$55)/($B61-D$55)/(1+$B61)^$M$32) + ($C$46-$C$40))/$C$47*1000/$C$49-1</f>
        <v>0.73013020145897478</v>
      </c>
      <c r="E61" s="223" cm="1">
        <f t="array" aca="1" ref="E61" ca="1">((SUMPRODUCT($G$30:$M$30,1/(1+$B61)^$G$32:$M$32) + $M$30*(1+E$55)/($B61-E$55)/(1+$B61)^$M$32) + ($C$46-$C$40))/$C$47*1000/$C$49-1</f>
        <v>0.7790909865624811</v>
      </c>
      <c r="F61" s="223" cm="1">
        <f t="array" aca="1" ref="F61" ca="1">((SUMPRODUCT($G$30:$M$30,1/(1+$B61)^$G$32:$M$32) + $M$30*(1+F$55)/($B61-F$55)/(1+$B61)^$M$32) + ($C$46-$C$40))/$C$47*1000/$C$49-1</f>
        <v>0.83261791227153248</v>
      </c>
      <c r="G61" s="223" cm="1">
        <f t="array" aca="1" ref="G61" ca="1">((SUMPRODUCT($G$30:$M$30,1/(1+$B61)^$G$32:$M$32) + $M$30*(1+G$55)/($B61-G$55)/(1+$B61)^$M$32) + ($C$46-$C$40))/$C$47*1000/$C$49-1</f>
        <v>0.89138098696545875</v>
      </c>
      <c r="H61" s="223" cm="1">
        <f t="array" aca="1" ref="H61" ca="1">((SUMPRODUCT($G$30:$M$30,1/(1+$B61)^$G$32:$M$32) + $M$30*(1+H$55)/($B61-H$55)/(1+$B61)^$M$32) + ($C$46-$C$40))/$C$47*1000/$C$49-1</f>
        <v>0.9561880443176749</v>
      </c>
      <c r="I61" s="223" cm="1">
        <f t="array" aca="1" ref="I61" ca="1">((SUMPRODUCT($G$30:$M$30,1/(1+$B61)^$G$32:$M$32) + $M$30*(1+I$55)/($B61-I$55)/(1+$B61)^$M$32) + ($C$46-$C$40))/$C$47*1000/$C$49-1</f>
        <v>1.0280221041450375</v>
      </c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</row>
    <row r="62" spans="1:26" ht="20.25" customHeight="1">
      <c r="B62" s="221">
        <f>$C$20+0.015</f>
        <v>0.13722574999999998</v>
      </c>
      <c r="C62" s="223" cm="1">
        <f t="array" aca="1" ref="C62" ca="1">((SUMPRODUCT($G$30:$M$30,1/(1+$B62)^$G$32:$M$32) + $M$30*(1+C$55)/($B62-C$55)/(1+$B62)^$M$32) + ($C$46-$C$40))/$C$47*1000/$C$49-1</f>
        <v>0.60606256119796442</v>
      </c>
      <c r="D62" s="223" cm="1">
        <f t="array" aca="1" ref="D62" ca="1">((SUMPRODUCT($G$30:$M$30,1/(1+$B62)^$G$32:$M$32) + $M$30*(1+D$55)/($B62-D$55)/(1+$B62)^$M$32) + ($C$46-$C$40))/$C$47*1000/$C$49-1</f>
        <v>0.64645986801565103</v>
      </c>
      <c r="E62" s="223" cm="1">
        <f t="array" aca="1" ref="E62" ca="1">((SUMPRODUCT($G$30:$M$30,1/(1+$B62)^$G$32:$M$32) + $M$30*(1+E$55)/($B62-E$55)/(1+$B62)^$M$32) + ($C$46-$C$40))/$C$47*1000/$C$49-1</f>
        <v>0.69030328687081122</v>
      </c>
      <c r="F62" s="223" cm="1">
        <f t="array" aca="1" ref="F62" ca="1">((SUMPRODUCT($G$30:$M$30,1/(1+$B62)^$G$32:$M$32) + $M$30*(1+F$55)/($B62-F$55)/(1+$B62)^$M$32) + ($C$46-$C$40))/$C$47*1000/$C$49-1</f>
        <v>0.73805342221974946</v>
      </c>
      <c r="G62" s="223" cm="1">
        <f t="array" aca="1" ref="G62" ca="1">((SUMPRODUCT($G$30:$M$30,1/(1+$B62)^$G$32:$M$32) + $M$30*(1+G$55)/($B62-G$55)/(1+$B62)^$M$32) + ($C$46-$C$40))/$C$47*1000/$C$49-1</f>
        <v>0.79025679154923245</v>
      </c>
      <c r="H62" s="223" cm="1">
        <f t="array" aca="1" ref="H62" ca="1">((SUMPRODUCT($G$30:$M$30,1/(1+$B62)^$G$32:$M$32) + $M$30*(1+H$55)/($B62-H$55)/(1+$B62)^$M$32) + ($C$46-$C$40))/$C$47*1000/$C$49-1</f>
        <v>0.84756683599036586</v>
      </c>
      <c r="I62" s="223" cm="1">
        <f t="array" aca="1" ref="I62" ca="1">((SUMPRODUCT($G$30:$M$30,1/(1+$B62)^$G$32:$M$32) + $M$30*(1+I$55)/($B62-I$55)/(1+$B62)^$M$32) + ($C$46-$C$40))/$C$47*1000/$C$49-1</f>
        <v>0.91077141397237016</v>
      </c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</row>
    <row r="63" spans="1:26" ht="20.25" customHeight="1"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</row>
    <row r="64" spans="1:26" ht="20.25" customHeight="1">
      <c r="B64" s="183" t="s">
        <v>1219</v>
      </c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65"/>
      <c r="V64" s="165"/>
      <c r="W64" s="165"/>
      <c r="X64" s="165"/>
      <c r="Y64" s="165"/>
      <c r="Z64" s="165"/>
    </row>
    <row r="65" spans="2:26" ht="20.25" customHeight="1">
      <c r="B65" s="220" t="s">
        <v>1220</v>
      </c>
      <c r="C65" s="221">
        <f>$C$9-0.015</f>
        <v>7.6100000000000001E-2</v>
      </c>
      <c r="D65" s="221">
        <f>$C$9-0.01</f>
        <v>8.1100000000000005E-2</v>
      </c>
      <c r="E65" s="221">
        <f>$C$9-0.005</f>
        <v>8.6099999999999996E-2</v>
      </c>
      <c r="F65" s="222">
        <f>$C$9</f>
        <v>9.11E-2</v>
      </c>
      <c r="G65" s="221">
        <f>$C$9+0.005</f>
        <v>9.6100000000000005E-2</v>
      </c>
      <c r="H65" s="221">
        <f>$C$9+0.01</f>
        <v>0.1011</v>
      </c>
      <c r="I65" s="221">
        <f>$C$9+0.015</f>
        <v>0.1061</v>
      </c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</row>
    <row r="66" spans="2:26" ht="20.25" customHeight="1">
      <c r="B66" s="225">
        <f>$C$8-0.3</f>
        <v>0.75</v>
      </c>
      <c r="C66" s="223" cm="1">
        <f t="array" aca="1" ref="C66" ca="1">_xlfn.LET(_xlpm.w,($C$7+$B66*C$65)*(1-$C$12)+$C$19*$C$12,((SUMPRODUCT($G$30:$M$30,1/(1+_xlpm.w)^$G$32:$M$32) + $M$30*(1+$C$13)/(_xlpm.w-$C$13)/(1+_xlpm.w)^$M$32) + ($C$46-$C$40))/$C$47*1000/$C$49-1)</f>
        <v>1.8632625022501914</v>
      </c>
      <c r="D66" s="223" cm="1">
        <f t="array" aca="1" ref="D66" ca="1">_xlfn.LET(_xlpm.w,($C$7+$B66*D$65)*(1-$C$12)+$C$19*$C$12,((SUMPRODUCT($G$30:$M$30,1/(1+_xlpm.w)^$G$32:$M$32) + $M$30*(1+$C$13)/(_xlpm.w-$C$13)/(1+_xlpm.w)^$M$32) + ($C$46-$C$40))/$C$47*1000/$C$49-1)</f>
        <v>1.7603746069596897</v>
      </c>
      <c r="E66" s="223" cm="1">
        <f t="array" aca="1" ref="E66" ca="1">_xlfn.LET(_xlpm.w,($C$7+$B66*E$65)*(1-$C$12)+$C$19*$C$12,((SUMPRODUCT($G$30:$M$30,1/(1+_xlpm.w)^$G$32:$M$32) + $M$30*(1+$C$13)/(_xlpm.w-$C$13)/(1+_xlpm.w)^$M$32) + ($C$46-$C$40))/$C$47*1000/$C$49-1)</f>
        <v>1.66398780802436</v>
      </c>
      <c r="F66" s="223" cm="1">
        <f t="array" aca="1" ref="F66" ca="1">_xlfn.LET(_xlpm.w,($C$7+$B66*F$65)*(1-$C$12)+$C$19*$C$12,((SUMPRODUCT($G$30:$M$30,1/(1+_xlpm.w)^$G$32:$M$32) + $M$30*(1+$C$13)/(_xlpm.w-$C$13)/(1+_xlpm.w)^$M$32) + ($C$46-$C$40))/$C$47*1000/$C$49-1)</f>
        <v>1.5735039234605979</v>
      </c>
      <c r="G66" s="223" cm="1">
        <f t="array" aca="1" ref="G66" ca="1">_xlfn.LET(_xlpm.w,($C$7+$B66*G$65)*(1-$C$12)+$C$19*$C$12,((SUMPRODUCT($G$30:$M$30,1/(1+_xlpm.w)^$G$32:$M$32) + $M$30*(1+$C$13)/(_xlpm.w-$C$13)/(1+_xlpm.w)^$M$32) + ($C$46-$C$40))/$C$47*1000/$C$49-1)</f>
        <v>1.4883959844889669</v>
      </c>
      <c r="H66" s="223" cm="1">
        <f t="array" aca="1" ref="H66" ca="1">_xlfn.LET(_xlpm.w,($C$7+$B66*H$65)*(1-$C$12)+$C$19*$C$12,((SUMPRODUCT($G$30:$M$30,1/(1+_xlpm.w)^$G$32:$M$32) + $M$30*(1+$C$13)/(_xlpm.w-$C$13)/(1+_xlpm.w)^$M$32) + ($C$46-$C$40))/$C$47*1000/$C$49-1)</f>
        <v>1.4081979444380406</v>
      </c>
      <c r="I66" s="223" cm="1">
        <f t="array" aca="1" ref="I66" ca="1">_xlfn.LET(_xlpm.w,($C$7+$B66*I$65)*(1-$C$12)+$C$19*$C$12,((SUMPRODUCT($G$30:$M$30,1/(1+_xlpm.w)^$G$32:$M$32) + $M$30*(1+$C$13)/(_xlpm.w-$C$13)/(1+_xlpm.w)^$M$32) + ($C$46-$C$40))/$C$47*1000/$C$49-1)</f>
        <v>1.3324961221282421</v>
      </c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</row>
    <row r="67" spans="2:26" ht="20.25" customHeight="1">
      <c r="B67" s="225">
        <f>$C$8-0.2</f>
        <v>0.85000000000000009</v>
      </c>
      <c r="C67" s="223" cm="1">
        <f t="array" aca="1" ref="C67" ca="1">_xlfn.LET(_xlpm.w,($C$7+$B67*C$65)*(1-$C$12)+$C$19*$C$12,((SUMPRODUCT($G$30:$M$30,1/(1+_xlpm.w)^$G$32:$M$32) + $M$30*(1+$C$13)/(_xlpm.w-$C$13)/(1+_xlpm.w)^$M$32) + ($C$46-$C$40))/$C$47*1000/$C$49-1)</f>
        <v>1.6612523120200517</v>
      </c>
      <c r="D67" s="223" cm="1">
        <f t="array" aca="1" ref="D67" ca="1">_xlfn.LET(_xlpm.w,($C$7+$B67*D$65)*(1-$C$12)+$C$19*$C$12,((SUMPRODUCT($G$30:$M$30,1/(1+_xlpm.w)^$G$32:$M$32) + $M$30*(1+$C$13)/(_xlpm.w-$C$13)/(1+_xlpm.w)^$M$32) + ($C$46-$C$40))/$C$47*1000/$C$49-1)</f>
        <v>1.5593065706508069</v>
      </c>
      <c r="E67" s="223" cm="1">
        <f t="array" aca="1" ref="E67" ca="1">_xlfn.LET(_xlpm.w,($C$7+$B67*E$65)*(1-$C$12)+$C$19*$C$12,((SUMPRODUCT($G$30:$M$30,1/(1+_xlpm.w)^$G$32:$M$32) + $M$30*(1+$C$13)/(_xlpm.w-$C$13)/(1+_xlpm.w)^$M$32) + ($C$46-$C$40))/$C$47*1000/$C$49-1)</f>
        <v>1.4641653487016937</v>
      </c>
      <c r="F67" s="223" cm="1">
        <f t="array" aca="1" ref="F67" ca="1">_xlfn.LET(_xlpm.w,($C$7+$B67*F$65)*(1-$C$12)+$C$19*$C$12,((SUMPRODUCT($G$30:$M$30,1/(1+_xlpm.w)^$G$32:$M$32) + $M$30*(1+$C$13)/(_xlpm.w-$C$13)/(1+_xlpm.w)^$M$32) + ($C$46-$C$40))/$C$47*1000/$C$49-1)</f>
        <v>1.3751682984465803</v>
      </c>
      <c r="G67" s="223" cm="1">
        <f t="array" aca="1" ref="G67" ca="1">_xlfn.LET(_xlpm.w,($C$7+$B67*G$65)*(1-$C$12)+$C$19*$C$12,((SUMPRODUCT($G$30:$M$30,1/(1+_xlpm.w)^$G$32:$M$32) + $M$30*(1+$C$13)/(_xlpm.w-$C$13)/(1+_xlpm.w)^$M$32) + ($C$46-$C$40))/$C$47*1000/$C$49-1)</f>
        <v>1.2917378540847491</v>
      </c>
      <c r="H67" s="223" cm="1">
        <f t="array" aca="1" ref="H67" ca="1">_xlfn.LET(_xlpm.w,($C$7+$B67*H$65)*(1-$C$12)+$C$19*$C$12,((SUMPRODUCT($G$30:$M$30,1/(1+_xlpm.w)^$G$32:$M$32) + $M$30*(1+$C$13)/(_xlpm.w-$C$13)/(1+_xlpm.w)^$M$32) + ($C$46-$C$40))/$C$47*1000/$C$49-1)</f>
        <v>1.2133666538476682</v>
      </c>
      <c r="I67" s="223" cm="1">
        <f t="array" aca="1" ref="I67" ca="1">_xlfn.LET(_xlpm.w,($C$7+$B67*I$65)*(1-$C$12)+$C$19*$C$12,((SUMPRODUCT($G$30:$M$30,1/(1+_xlpm.w)^$G$32:$M$32) + $M$30*(1+$C$13)/(_xlpm.w-$C$13)/(1+_xlpm.w)^$M$32) + ($C$46-$C$40))/$C$47*1000/$C$49-1)</f>
        <v>1.1396071877717437</v>
      </c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</row>
    <row r="68" spans="2:26" ht="20.25" customHeight="1">
      <c r="B68" s="225">
        <f>$C$8-0.1</f>
        <v>0.95000000000000007</v>
      </c>
      <c r="C68" s="223" cm="1">
        <f t="array" aca="1" ref="C68" ca="1">_xlfn.LET(_xlpm.w,($C$7+$B68*C$65)*(1-$C$12)+$C$19*$C$12,((SUMPRODUCT($G$30:$M$30,1/(1+_xlpm.w)^$G$32:$M$32) + $M$30*(1+$C$13)/(_xlpm.w-$C$13)/(1+_xlpm.w)^$M$32) + ($C$46-$C$40))/$C$47*1000/$C$49-1)</f>
        <v>1.4835597219531129</v>
      </c>
      <c r="D68" s="223" cm="1">
        <f t="array" aca="1" ref="D68" ca="1">_xlfn.LET(_xlpm.w,($C$7+$B68*D$65)*(1-$C$12)+$C$19*$C$12,((SUMPRODUCT($G$30:$M$30,1/(1+_xlpm.w)^$G$32:$M$32) + $M$30*(1+$C$13)/(_xlpm.w-$C$13)/(1+_xlpm.w)^$M$32) + ($C$46-$C$40))/$C$47*1000/$C$49-1)</f>
        <v>1.3830948985506839</v>
      </c>
      <c r="E68" s="223" cm="1">
        <f t="array" aca="1" ref="E68" ca="1">_xlfn.LET(_xlpm.w,($C$7+$B68*E$65)*(1-$C$12)+$C$19*$C$12,((SUMPRODUCT($G$30:$M$30,1/(1+_xlpm.w)^$G$32:$M$32) + $M$30*(1+$C$13)/(_xlpm.w-$C$13)/(1+_xlpm.w)^$M$32) + ($C$46-$C$40))/$C$47*1000/$C$49-1)</f>
        <v>1.2896476934327934</v>
      </c>
      <c r="F68" s="223" cm="1">
        <f t="array" aca="1" ref="F68" ca="1">_xlfn.LET(_xlpm.w,($C$7+$B68*F$65)*(1-$C$12)+$C$19*$C$12,((SUMPRODUCT($G$30:$M$30,1/(1+_xlpm.w)^$G$32:$M$32) + $M$30*(1+$C$13)/(_xlpm.w-$C$13)/(1+_xlpm.w)^$M$32) + ($C$46-$C$40))/$C$47*1000/$C$49-1)</f>
        <v>1.2025063484158678</v>
      </c>
      <c r="G68" s="223" cm="1">
        <f t="array" aca="1" ref="G68" ca="1">_xlfn.LET(_xlpm.w,($C$7+$B68*G$65)*(1-$C$12)+$C$19*$C$12,((SUMPRODUCT($G$30:$M$30,1/(1+_xlpm.w)^$G$32:$M$32) + $M$30*(1+$C$13)/(_xlpm.w-$C$13)/(1+_xlpm.w)^$M$32) + ($C$46-$C$40))/$C$47*1000/$C$49-1)</f>
        <v>1.1210522298914425</v>
      </c>
      <c r="H68" s="223" cm="1">
        <f t="array" aca="1" ref="H68" ca="1">_xlfn.LET(_xlpm.w,($C$7+$B68*H$65)*(1-$C$12)+$C$19*$C$12,((SUMPRODUCT($G$30:$M$30,1/(1+_xlpm.w)^$G$32:$M$32) + $M$30*(1+$C$13)/(_xlpm.w-$C$13)/(1+_xlpm.w)^$M$32) + ($C$46-$C$40))/$C$47*1000/$C$49-1)</f>
        <v>1.0447450809200909</v>
      </c>
      <c r="I68" s="223" cm="1">
        <f t="array" aca="1" ref="I68" ca="1">_xlfn.LET(_xlpm.w,($C$7+$B68*I$65)*(1-$C$12)+$C$19*$C$12,((SUMPRODUCT($G$30:$M$30,1/(1+_xlpm.w)^$G$32:$M$32) + $M$30*(1+$C$13)/(_xlpm.w-$C$13)/(1+_xlpm.w)^$M$32) + ($C$46-$C$40))/$C$47*1000/$C$49-1)</f>
        <v>0.97311098998028567</v>
      </c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</row>
    <row r="69" spans="2:26" ht="20.25" customHeight="1">
      <c r="B69" s="226">
        <f>$C$8</f>
        <v>1.05</v>
      </c>
      <c r="C69" s="223" cm="1">
        <f t="array" aca="1" ref="C69" ca="1">_xlfn.LET(_xlpm.w,($C$7+$B69*C$65)*(1-$C$12)+$C$19*$C$12,((SUMPRODUCT($G$30:$M$30,1/(1+_xlpm.w)^$G$32:$M$32) + $M$30*(1+$C$13)/(_xlpm.w-$C$13)/(1+_xlpm.w)^$M$32) + ($C$46-$C$40))/$C$47*1000/$C$49-1)</f>
        <v>1.3260370139554687</v>
      </c>
      <c r="D69" s="223" cm="1">
        <f t="array" aca="1" ref="D69" ca="1">_xlfn.LET(_xlpm.w,($C$7+$B69*D$65)*(1-$C$12)+$C$19*$C$12,((SUMPRODUCT($G$30:$M$30,1/(1+_xlpm.w)^$G$32:$M$32) + $M$30*(1+$C$13)/(_xlpm.w-$C$13)/(1+_xlpm.w)^$M$32) + ($C$46-$C$40))/$C$47*1000/$C$49-1)</f>
        <v>1.2273920550869888</v>
      </c>
      <c r="E69" s="223" cm="1">
        <f t="array" aca="1" ref="E69" ca="1">_xlfn.LET(_xlpm.w,($C$7+$B69*E$65)*(1-$C$12)+$C$19*$C$12,((SUMPRODUCT($G$30:$M$30,1/(1+_xlpm.w)^$G$32:$M$32) + $M$30*(1+$C$13)/(_xlpm.w-$C$13)/(1+_xlpm.w)^$M$32) + ($C$46-$C$40))/$C$47*1000/$C$49-1)</f>
        <v>1.135907009064749</v>
      </c>
      <c r="F69" s="224" cm="1">
        <f t="array" aca="1" ref="F69" ca="1">_xlfn.LET(_xlpm.w,($C$7+$B69*F$65)*(1-$C$12)+$C$19*$C$12,((SUMPRODUCT($G$30:$M$30,1/(1+_xlpm.w)^$G$32:$M$32) + $M$30*(1+$C$13)/(_xlpm.w-$C$13)/(1+_xlpm.w)^$M$32) + ($C$46-$C$40))/$C$47*1000/$C$49-1)</f>
        <v>1.0508281602414384</v>
      </c>
      <c r="G69" s="223" cm="1">
        <f t="array" aca="1" ref="G69" ca="1">_xlfn.LET(_xlpm.w,($C$7+$B69*G$65)*(1-$C$12)+$C$19*$C$12,((SUMPRODUCT($G$30:$M$30,1/(1+_xlpm.w)^$G$32:$M$32) + $M$30*(1+$C$13)/(_xlpm.w-$C$13)/(1+_xlpm.w)^$M$32) + ($C$46-$C$40))/$C$47*1000/$C$49-1)</f>
        <v>0.97150402223846033</v>
      </c>
      <c r="H69" s="223" cm="1">
        <f t="array" aca="1" ref="H69" ca="1">_xlfn.LET(_xlpm.w,($C$7+$B69*H$65)*(1-$C$12)+$C$19*$C$12,((SUMPRODUCT($G$30:$M$30,1/(1+_xlpm.w)^$G$32:$M$32) + $M$30*(1+$C$13)/(_xlpm.w-$C$13)/(1+_xlpm.w)^$M$32) + ($C$46-$C$40))/$C$47*1000/$C$49-1)</f>
        <v>0.89736857407619719</v>
      </c>
      <c r="I69" s="223" cm="1">
        <f t="array" aca="1" ref="I69" ca="1">_xlfn.LET(_xlpm.w,($C$7+$B69*I$65)*(1-$C$12)+$C$19*$C$12,((SUMPRODUCT($G$30:$M$30,1/(1+_xlpm.w)^$G$32:$M$32) + $M$30*(1+$C$13)/(_xlpm.w-$C$13)/(1+_xlpm.w)^$M$32) + ($C$46-$C$40))/$C$47*1000/$C$49-1)</f>
        <v>0.82792769033165814</v>
      </c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</row>
    <row r="70" spans="2:26" ht="20.25" customHeight="1">
      <c r="B70" s="225">
        <f>$C$8+0.1</f>
        <v>1.1500000000000001</v>
      </c>
      <c r="C70" s="223" cm="1">
        <f t="array" aca="1" ref="C70" ca="1">_xlfn.LET(_xlpm.w,($C$7+$B70*C$65)*(1-$C$12)+$C$19*$C$12,((SUMPRODUCT($G$30:$M$30,1/(1+_xlpm.w)^$G$32:$M$32) + $M$30*(1+$C$13)/(_xlpm.w-$C$13)/(1+_xlpm.w)^$M$32) + ($C$46-$C$40))/$C$47*1000/$C$49-1)</f>
        <v>1.1854291320151202</v>
      </c>
      <c r="D70" s="223" cm="1">
        <f t="array" aca="1" ref="D70" ca="1">_xlfn.LET(_xlpm.w,($C$7+$B70*D$65)*(1-$C$12)+$C$19*$C$12,((SUMPRODUCT($G$30:$M$30,1/(1+_xlpm.w)^$G$32:$M$32) + $M$30*(1+$C$13)/(_xlpm.w-$C$13)/(1+_xlpm.w)^$M$32) + ($C$46-$C$40))/$C$47*1000/$C$49-1)</f>
        <v>1.088808692526479</v>
      </c>
      <c r="E70" s="223" cm="1">
        <f t="array" aca="1" ref="E70" ca="1">_xlfn.LET(_xlpm.w,($C$7+$B70*E$65)*(1-$C$12)+$C$19*$C$12,((SUMPRODUCT($G$30:$M$30,1/(1+_xlpm.w)^$G$32:$M$32) + $M$30*(1+$C$13)/(_xlpm.w-$C$13)/(1+_xlpm.w)^$M$32) + ($C$46-$C$40))/$C$47*1000/$C$49-1)</f>
        <v>0.99943507909998885</v>
      </c>
      <c r="F70" s="223" cm="1">
        <f t="array" aca="1" ref="F70" ca="1">_xlfn.LET(_xlpm.w,($C$7+$B70*F$65)*(1-$C$12)+$C$19*$C$12,((SUMPRODUCT($G$30:$M$30,1/(1+_xlpm.w)^$G$32:$M$32) + $M$30*(1+$C$13)/(_xlpm.w-$C$13)/(1+_xlpm.w)^$M$32) + ($C$46-$C$40))/$C$47*1000/$C$49-1)</f>
        <v>0.91652077563238232</v>
      </c>
      <c r="G70" s="223" cm="1">
        <f t="array" aca="1" ref="G70" ca="1">_xlfn.LET(_xlpm.w,($C$7+$B70*G$65)*(1-$C$12)+$C$19*$C$12,((SUMPRODUCT($G$30:$M$30,1/(1+_xlpm.w)^$G$32:$M$32) + $M$30*(1+$C$13)/(_xlpm.w-$C$13)/(1+_xlpm.w)^$M$32) + ($C$46-$C$40))/$C$47*1000/$C$49-1)</f>
        <v>0.8393884153910609</v>
      </c>
      <c r="H70" s="223" cm="1">
        <f t="array" aca="1" ref="H70" ca="1">_xlfn.LET(_xlpm.w,($C$7+$B70*H$65)*(1-$C$12)+$C$19*$C$12,((SUMPRODUCT($G$30:$M$30,1/(1+_xlpm.w)^$G$32:$M$32) + $M$30*(1+$C$13)/(_xlpm.w-$C$13)/(1+_xlpm.w)^$M$32) + ($C$46-$C$40))/$C$47*1000/$C$49-1)</f>
        <v>0.76745217331577931</v>
      </c>
      <c r="I70" s="223" cm="1">
        <f t="array" aca="1" ref="I70" ca="1">_xlfn.LET(_xlpm.w,($C$7+$B70*I$65)*(1-$C$12)+$C$19*$C$12,((SUMPRODUCT($G$30:$M$30,1/(1+_xlpm.w)^$G$32:$M$32) + $M$30*(1+$C$13)/(_xlpm.w-$C$13)/(1+_xlpm.w)^$M$32) + ($C$46-$C$40))/$C$47*1000/$C$49-1)</f>
        <v>0.70020280714054106</v>
      </c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</row>
    <row r="71" spans="2:26" ht="20.25" customHeight="1">
      <c r="B71" s="225">
        <f>$C$8+0.2</f>
        <v>1.25</v>
      </c>
      <c r="C71" s="223" cm="1">
        <f t="array" aca="1" ref="C71" ca="1">_xlfn.LET(_xlpm.w,($C$7+$B71*C$65)*(1-$C$12)+$C$19*$C$12,((SUMPRODUCT($G$30:$M$30,1/(1+_xlpm.w)^$G$32:$M$32) + $M$30*(1+$C$13)/(_xlpm.w-$C$13)/(1+_xlpm.w)^$M$32) + ($C$46-$C$40))/$C$47*1000/$C$49-1)</f>
        <v>1.0591457968993221</v>
      </c>
      <c r="D71" s="223" cm="1">
        <f t="array" aca="1" ref="D71" ca="1">_xlfn.LET(_xlpm.w,($C$7+$B71*D$65)*(1-$C$12)+$C$19*$C$12,((SUMPRODUCT($G$30:$M$30,1/(1+_xlpm.w)^$G$32:$M$32) + $M$30*(1+$C$13)/(_xlpm.w-$C$13)/(1+_xlpm.w)^$M$32) + ($C$46-$C$40))/$C$47*1000/$C$49-1)</f>
        <v>0.96466345719089297</v>
      </c>
      <c r="E71" s="223" cm="1">
        <f t="array" aca="1" ref="E71" ca="1">_xlfn.LET(_xlpm.w,($C$7+$B71*E$65)*(1-$C$12)+$C$19*$C$12,((SUMPRODUCT($G$30:$M$30,1/(1+_xlpm.w)^$G$32:$M$32) + $M$30*(1+$C$13)/(_xlpm.w-$C$13)/(1+_xlpm.w)^$M$32) + ($C$46-$C$40))/$C$47*1000/$C$49-1)</f>
        <v>0.87747159126358665</v>
      </c>
      <c r="F71" s="223" cm="1">
        <f t="array" aca="1" ref="F71" ca="1">_xlfn.LET(_xlpm.w,($C$7+$B71*F$65)*(1-$C$12)+$C$19*$C$12,((SUMPRODUCT($G$30:$M$30,1/(1+_xlpm.w)^$G$32:$M$32) + $M$30*(1+$C$13)/(_xlpm.w-$C$13)/(1+_xlpm.w)^$M$32) + ($C$46-$C$40))/$C$47*1000/$C$49-1)</f>
        <v>0.79675584303348668</v>
      </c>
      <c r="G71" s="223" cm="1">
        <f t="array" aca="1" ref="G71" ca="1">_xlfn.LET(_xlpm.w,($C$7+$B71*G$65)*(1-$C$12)+$C$19*$C$12,((SUMPRODUCT($G$30:$M$30,1/(1+_xlpm.w)^$G$32:$M$32) + $M$30*(1+$C$13)/(_xlpm.w-$C$13)/(1+_xlpm.w)^$M$32) + ($C$46-$C$40))/$C$47*1000/$C$49-1)</f>
        <v>0.72181882815584375</v>
      </c>
      <c r="H71" s="223" cm="1">
        <f t="array" aca="1" ref="H71" ca="1">_xlfn.LET(_xlpm.w,($C$7+$B71*H$65)*(1-$C$12)+$C$19*$C$12,((SUMPRODUCT($G$30:$M$30,1/(1+_xlpm.w)^$G$32:$M$32) + $M$30*(1+$C$13)/(_xlpm.w-$C$13)/(1+_xlpm.w)^$M$32) + ($C$46-$C$40))/$C$47*1000/$C$49-1)</f>
        <v>0.6520598598977172</v>
      </c>
      <c r="I71" s="223" cm="1">
        <f t="array" aca="1" ref="I71" ca="1">_xlfn.LET(_xlpm.w,($C$7+$B71*I$65)*(1-$C$12)+$C$19*$C$12,((SUMPRODUCT($G$30:$M$30,1/(1+_xlpm.w)^$G$32:$M$32) + $M$30*(1+$C$13)/(_xlpm.w-$C$13)/(1+_xlpm.w)^$M$32) + ($C$46-$C$40))/$C$47*1000/$C$49-1)</f>
        <v>0.58695875053389468</v>
      </c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</row>
    <row r="72" spans="2:26" ht="20.25" customHeight="1">
      <c r="B72" s="225">
        <f>$C$8+0.3</f>
        <v>1.35</v>
      </c>
      <c r="C72" s="223" cm="1">
        <f t="array" aca="1" ref="C72" ca="1">_xlfn.LET(_xlpm.w,($C$7+$B72*C$65)*(1-$C$12)+$C$19*$C$12,((SUMPRODUCT($G$30:$M$30,1/(1+_xlpm.w)^$G$32:$M$32) + $M$30*(1+$C$13)/(_xlpm.w-$C$13)/(1+_xlpm.w)^$M$32) + ($C$46-$C$40))/$C$47*1000/$C$49-1)</f>
        <v>0.94510004097239864</v>
      </c>
      <c r="D72" s="223" cm="1">
        <f t="array" aca="1" ref="D72" ca="1">_xlfn.LET(_xlpm.w,($C$7+$B72*D$65)*(1-$C$12)+$C$19*$C$12,((SUMPRODUCT($G$30:$M$30,1/(1+_xlpm.w)^$G$32:$M$32) + $M$30*(1+$C$13)/(_xlpm.w-$C$13)/(1+_xlpm.w)^$M$32) + ($C$46-$C$40))/$C$47*1000/$C$49-1)</f>
        <v>0.85280729894942087</v>
      </c>
      <c r="E72" s="223" cm="1">
        <f t="array" aca="1" ref="E72" ca="1">_xlfn.LET(_xlpm.w,($C$7+$B72*E$65)*(1-$C$12)+$C$19*$C$12,((SUMPRODUCT($G$30:$M$30,1/(1+_xlpm.w)^$G$32:$M$32) + $M$30*(1+$C$13)/(_xlpm.w-$C$13)/(1+_xlpm.w)^$M$32) + ($C$46-$C$40))/$C$47*1000/$C$49-1)</f>
        <v>0.76781491703900628</v>
      </c>
      <c r="F72" s="223" cm="1">
        <f t="array" aca="1" ref="F72" ca="1">_xlfn.LET(_xlpm.w,($C$7+$B72*F$65)*(1-$C$12)+$C$19*$C$12,((SUMPRODUCT($G$30:$M$30,1/(1+_xlpm.w)^$G$32:$M$32) + $M$30*(1+$C$13)/(_xlpm.w-$C$13)/(1+_xlpm.w)^$M$32) + ($C$46-$C$40))/$C$47*1000/$C$49-1)</f>
        <v>0.68928759757240909</v>
      </c>
      <c r="G72" s="223" cm="1">
        <f t="array" aca="1" ref="G72" ca="1">_xlfn.LET(_xlpm.w,($C$7+$B72*G$65)*(1-$C$12)+$C$19*$C$12,((SUMPRODUCT($G$30:$M$30,1/(1+_xlpm.w)^$G$32:$M$32) + $M$30*(1+$C$13)/(_xlpm.w-$C$13)/(1+_xlpm.w)^$M$32) + ($C$46-$C$40))/$C$47*1000/$C$49-1)</f>
        <v>0.61651284028389486</v>
      </c>
      <c r="H72" s="223" cm="1">
        <f t="array" aca="1" ref="H72" ca="1">_xlfn.LET(_xlpm.w,($C$7+$B72*H$65)*(1-$C$12)+$C$19*$C$12,((SUMPRODUCT($G$30:$M$30,1/(1+_xlpm.w)^$G$32:$M$32) + $M$30*(1+$C$13)/(_xlpm.w-$C$13)/(1+_xlpm.w)^$M$32) + ($C$46-$C$40))/$C$47*1000/$C$49-1)</f>
        <v>0.54887917622694093</v>
      </c>
      <c r="I72" s="223" cm="1">
        <f t="array" aca="1" ref="I72" ca="1">_xlfn.LET(_xlpm.w,($C$7+$B72*I$65)*(1-$C$12)+$C$19*$C$12,((SUMPRODUCT($G$30:$M$30,1/(1+_xlpm.w)^$G$32:$M$32) + $M$30*(1+$C$13)/(_xlpm.w-$C$13)/(1+_xlpm.w)^$M$32) + ($C$46-$C$40))/$C$47*1000/$C$49-1)</f>
        <v>0.48585887286531193</v>
      </c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</row>
    <row r="73" spans="2:26" ht="20.25" customHeight="1"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</row>
    <row r="74" spans="2:26" ht="20.25" customHeight="1">
      <c r="B74" s="183" t="s">
        <v>1221</v>
      </c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65"/>
      <c r="V74" s="165"/>
      <c r="W74" s="165"/>
      <c r="X74" s="165"/>
      <c r="Y74" s="165"/>
      <c r="Z74" s="165"/>
    </row>
    <row r="75" spans="2:26" ht="20.25" customHeight="1"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</row>
    <row r="76" spans="2:26" ht="20.25" customHeight="1">
      <c r="B76" s="227" t="s">
        <v>1222</v>
      </c>
      <c r="C76" s="228" t="s">
        <v>1223</v>
      </c>
      <c r="D76" s="229" t="s">
        <v>1224</v>
      </c>
      <c r="E76" s="230" t="s">
        <v>1225</v>
      </c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</row>
    <row r="77" spans="2:26" ht="20.25" customHeight="1">
      <c r="B77" s="231" t="s">
        <v>958</v>
      </c>
      <c r="C77" s="232">
        <v>1.05</v>
      </c>
      <c r="D77" s="233">
        <v>0.82336142947985602</v>
      </c>
      <c r="E77" s="232">
        <v>0.65</v>
      </c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</row>
    <row r="78" spans="2:26" ht="20.25" customHeight="1">
      <c r="B78" s="165" t="s">
        <v>1226</v>
      </c>
      <c r="C78" s="234">
        <v>9.11E-2</v>
      </c>
      <c r="D78" s="235">
        <v>8.1119999999999998E-2</v>
      </c>
      <c r="E78" s="234">
        <v>7.1099999999999997E-2</v>
      </c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</row>
    <row r="79" spans="2:26" ht="20.25" customHeight="1">
      <c r="B79" s="165" t="s">
        <v>1160</v>
      </c>
      <c r="C79" s="234">
        <v>2.5000000000000001E-2</v>
      </c>
      <c r="D79" s="235">
        <v>2.5000000000000001E-2</v>
      </c>
      <c r="E79" s="234">
        <v>4.4999999999999998E-2</v>
      </c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</row>
    <row r="80" spans="2:26" ht="20.25" customHeight="1">
      <c r="B80" s="165" t="s">
        <v>1227</v>
      </c>
      <c r="C80" s="236">
        <v>-2.5000000000000001E-2</v>
      </c>
      <c r="D80" s="640">
        <v>2.5000000000000001E-2</v>
      </c>
      <c r="E80" s="236">
        <v>7.4999999999999997E-2</v>
      </c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</row>
    <row r="81" spans="2:26" ht="20.25" customHeight="1">
      <c r="B81" s="165" t="s">
        <v>1000</v>
      </c>
      <c r="C81" s="234">
        <v>4.4999999999999998E-2</v>
      </c>
      <c r="D81" s="234">
        <v>4.2000000000000003E-2</v>
      </c>
      <c r="E81" s="234">
        <v>0.04</v>
      </c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</row>
    <row r="82" spans="2:26" ht="20.25" customHeight="1">
      <c r="B82" s="227" t="s">
        <v>1233</v>
      </c>
      <c r="C82" s="234">
        <v>0.11</v>
      </c>
      <c r="D82" s="234">
        <v>0.1</v>
      </c>
      <c r="E82" s="234">
        <v>0.09</v>
      </c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</row>
    <row r="83" spans="2:26" ht="20.25" customHeight="1">
      <c r="B83" s="165" t="s">
        <v>780</v>
      </c>
      <c r="C83" s="237">
        <v>0.2</v>
      </c>
      <c r="D83" s="237">
        <v>0.18</v>
      </c>
      <c r="E83" s="237">
        <v>0.16</v>
      </c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</row>
    <row r="84" spans="2:26" ht="20.25" customHeight="1">
      <c r="B84" s="165" t="s">
        <v>784</v>
      </c>
      <c r="C84" s="237">
        <v>0.35</v>
      </c>
      <c r="D84" s="237">
        <v>0.27794946721499297</v>
      </c>
      <c r="E84" s="237">
        <v>0.22</v>
      </c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</row>
    <row r="85" spans="2:26" ht="20.25" customHeight="1">
      <c r="B85" s="165"/>
      <c r="C85" s="165"/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</row>
    <row r="86" spans="2:26" ht="20.25" customHeight="1">
      <c r="B86" s="183" t="s">
        <v>1228</v>
      </c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65"/>
      <c r="V86" s="165"/>
      <c r="W86" s="165"/>
      <c r="X86" s="165"/>
      <c r="Y86" s="165"/>
      <c r="Z86" s="165"/>
    </row>
    <row r="87" spans="2:26" ht="20.25" customHeight="1">
      <c r="B87" s="165" t="s">
        <v>1155</v>
      </c>
      <c r="C87" s="238">
        <f>C81+C77*C78</f>
        <v>0.140655</v>
      </c>
      <c r="D87" s="238">
        <f>D81+D77*D78</f>
        <v>0.10879107915940592</v>
      </c>
      <c r="E87" s="238">
        <f>E81+E77*E78</f>
        <v>8.6215E-2</v>
      </c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</row>
    <row r="88" spans="2:26" ht="20.25" customHeight="1">
      <c r="B88" s="165" t="s">
        <v>959</v>
      </c>
      <c r="C88" s="238">
        <f>C87*(1-C84)+C82*(1-C83)*C84</f>
        <v>0.12222574999999999</v>
      </c>
      <c r="D88" s="238">
        <f>D87*(1-D84)+D82*(1-D83)*D84</f>
        <v>0.10134451298093436</v>
      </c>
      <c r="E88" s="238">
        <f>E87*(1-E84)+E82*(1-E83)*E84</f>
        <v>8.3879700000000001E-2</v>
      </c>
      <c r="F88" s="165"/>
      <c r="G88" s="165"/>
      <c r="H88" s="165"/>
      <c r="I88" s="165"/>
      <c r="J88" s="165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</row>
    <row r="89" spans="2:26" ht="20.25" customHeight="1">
      <c r="B89" s="165" t="s">
        <v>1229</v>
      </c>
      <c r="C89" s="239" cm="1">
        <f t="array" aca="1" ref="C89" ca="1">SUMPRODUCT($G$30:$M$30,1/(1+C88)^$G$32:$M$32)*(1+C80)</f>
        <v>1829.7250876941066</v>
      </c>
      <c r="D89" s="239" cm="1">
        <f t="array" aca="1" ref="D89" ca="1">SUMPRODUCT($G$30:$M$30,1/(1+D88)^$G$32:$M$32)*(1+D80)</f>
        <v>2069.941917103944</v>
      </c>
      <c r="E89" s="239" cm="1">
        <f t="array" aca="1" ref="E89" ca="1">SUMPRODUCT($G$30:$M$30,1/(1+E88)^$G$32:$M$32)*(1+E80)</f>
        <v>2312.2315791623587</v>
      </c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</row>
    <row r="90" spans="2:26" ht="20.25" customHeight="1">
      <c r="B90" s="165" t="s">
        <v>1234</v>
      </c>
      <c r="C90" s="239">
        <f ca="1">$M$30*(1+C80)*(1+C79)/(C88-C79)/(1+C88)^$M$32</f>
        <v>2377.7812159712762</v>
      </c>
      <c r="D90" s="239">
        <f ca="1">$M$30*(1+D80)*(1+D79)/(D88-D79)/(1+D88)^$M$32</f>
        <v>3609.1214867807075</v>
      </c>
      <c r="E90" s="239">
        <f ca="1">$M$30*(1+E80)*(1+E79)/(E88-E79)/(1+E88)^$M$32</f>
        <v>8431.8322754507844</v>
      </c>
      <c r="F90" s="165"/>
      <c r="G90" s="165"/>
      <c r="H90" s="165"/>
      <c r="I90" s="165"/>
      <c r="J90" s="165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</row>
    <row r="91" spans="2:26" ht="20.25" customHeight="1">
      <c r="B91" s="240" t="s">
        <v>1230</v>
      </c>
      <c r="C91" s="241">
        <f ca="1">C89+C90</f>
        <v>4207.5063036653828</v>
      </c>
      <c r="D91" s="241">
        <f ca="1">D89+D90</f>
        <v>5679.0634038846511</v>
      </c>
      <c r="E91" s="241">
        <f ca="1">E89+E90</f>
        <v>10744.063854613143</v>
      </c>
      <c r="F91" s="165"/>
      <c r="G91" s="165"/>
      <c r="H91" s="165"/>
      <c r="I91" s="165"/>
      <c r="J91" s="165"/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</row>
    <row r="92" spans="2:26" ht="20.25" customHeight="1">
      <c r="B92" s="165" t="s">
        <v>1231</v>
      </c>
      <c r="C92" s="239">
        <f ca="1">$C$46-$C$40</f>
        <v>-385.79446513200037</v>
      </c>
      <c r="D92" s="239">
        <f ca="1">$C$46-$C$40</f>
        <v>-385.79446513200037</v>
      </c>
      <c r="E92" s="239">
        <f ca="1">$C$46-$C$40</f>
        <v>-385.79446513200037</v>
      </c>
      <c r="F92" s="165"/>
      <c r="G92" s="165"/>
      <c r="H92" s="165"/>
      <c r="I92" s="165"/>
      <c r="J92" s="165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</row>
    <row r="93" spans="2:26" ht="20.25" customHeight="1">
      <c r="B93" s="240" t="s">
        <v>1051</v>
      </c>
      <c r="C93" s="242">
        <f ca="1">(C91+C92)/$C$47*1000</f>
        <v>19925.293485720224</v>
      </c>
      <c r="D93" s="242">
        <f ca="1">(D91+D92)/$C$47*1000</f>
        <v>27597.564013085946</v>
      </c>
      <c r="E93" s="242">
        <f ca="1">(E91+E92)/$C$47*1000</f>
        <v>54005.002551099853</v>
      </c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</row>
    <row r="94" spans="2:26" ht="20.25" customHeight="1">
      <c r="B94" s="240" t="s">
        <v>1053</v>
      </c>
      <c r="C94" s="243">
        <f ca="1">C93/$C$49-1</f>
        <v>0.99452387244446672</v>
      </c>
      <c r="D94" s="243">
        <f ca="1">D93/$C$49-1</f>
        <v>1.7625189202288234</v>
      </c>
      <c r="E94" s="243">
        <f ca="1">E93/$C$49-1</f>
        <v>4.4059061612712567</v>
      </c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</row>
    <row r="95" spans="2:26" ht="20.25" customHeight="1"/>
    <row r="96" spans="2:26" ht="20.25" customHeight="1">
      <c r="B96" s="634" t="s">
        <v>1235</v>
      </c>
    </row>
    <row r="97" spans="2:11" ht="20.25" customHeight="1">
      <c r="B97" s="635" t="s">
        <v>1236</v>
      </c>
    </row>
    <row r="98" spans="2:11" ht="20.25" customHeight="1"/>
    <row r="99" spans="2:11" ht="20.25" customHeight="1">
      <c r="B99" s="61" t="s">
        <v>1237</v>
      </c>
      <c r="C99" s="60" t="s">
        <v>1238</v>
      </c>
      <c r="D99" s="60" t="s">
        <v>1239</v>
      </c>
      <c r="E99" s="60" t="s">
        <v>1240</v>
      </c>
      <c r="F99" s="60" t="s">
        <v>1241</v>
      </c>
      <c r="G99" s="60" t="s">
        <v>1242</v>
      </c>
      <c r="H99" s="60" t="s">
        <v>1243</v>
      </c>
      <c r="I99" s="60" t="s">
        <v>1244</v>
      </c>
      <c r="J99" s="60" t="s">
        <v>1245</v>
      </c>
      <c r="K99" s="60" t="s">
        <v>1246</v>
      </c>
    </row>
    <row r="100" spans="2:11" ht="20.25" customHeight="1">
      <c r="B100" t="s">
        <v>1000</v>
      </c>
      <c r="C100" s="63">
        <f>$C$7</f>
        <v>4.4999999999999998E-2</v>
      </c>
      <c r="D100" s="63">
        <f t="shared" ref="D100:D106" si="4">C100*0.9</f>
        <v>4.0500000000000001E-2</v>
      </c>
      <c r="E100" s="63">
        <f t="shared" ref="E100:E106" si="5">C100*1.1</f>
        <v>4.9500000000000002E-2</v>
      </c>
      <c r="F100" s="64" cm="1">
        <f t="array" aca="1" ref="F100" ca="1">_xlfn.LET(_xlpm.rf,D100,_xlpm.b,$C$8,_xlpm.erp,$C$9,_xlpm.kd,$C$10,_xlpm.tx,$C$11,_xlpm.de,$C$12,_xlpm.g,$C$13,_xlpm.w,(_xlpm.rf+_xlpm.b*_xlpm.erp)*(1-_xlpm.de)+_xlpm.kd*(1-_xlpm.tx)*_xlpm.de,((SUMPRODUCT($G$30:$M$30,1/(1+_xlpm.w)^$G$32:$M$32)+$M$30*(1+_xlpm.g)/(_xlpm.w-_xlpm.g)/(1+_xlpm.w)^$M$32)+($C$46-$C$40))/$C$47*1000)</f>
        <v>21212.535109576849</v>
      </c>
      <c r="G100" s="64" cm="1">
        <f t="array" aca="1" ref="G100" ca="1">_xlfn.LET(_xlpm.rf,E100,_xlpm.b,$C$8,_xlpm.erp,$C$9,_xlpm.kd,$C$10,_xlpm.tx,$C$11,_xlpm.de,$C$12,_xlpm.g,$C$13,_xlpm.w,(_xlpm.rf+_xlpm.b*_xlpm.erp)*(1-_xlpm.de)+_xlpm.kd*(1-_xlpm.tx)*_xlpm.de,((SUMPRODUCT($G$30:$M$30,1/(1+_xlpm.w)^$G$32:$M$32)+$M$30*(1+_xlpm.g)/(_xlpm.w-_xlpm.g)/(1+_xlpm.w)^$M$32)+($C$46-$C$40))/$C$47*1000)</f>
        <v>19805.234947984165</v>
      </c>
      <c r="H100" s="62">
        <f t="shared" ref="H100:I106" ca="1" si="6">F100/$C$48-1</f>
        <v>6.4603395918817919E-2</v>
      </c>
      <c r="I100" s="62">
        <f ca="1">G100/$C$48-1</f>
        <v>-6.0254338447812694E-3</v>
      </c>
      <c r="J100" s="636">
        <f t="shared" ref="J100:J106" ca="1" si="7">(I100-H100)/0.2</f>
        <v>-0.35314414881799594</v>
      </c>
      <c r="K100" s="637">
        <f t="shared" ref="K100:K106" ca="1" si="8">ABS(I100-H100)</f>
        <v>7.0628829763599188E-2</v>
      </c>
    </row>
    <row r="101" spans="2:11" ht="20.25" customHeight="1">
      <c r="B101" t="s">
        <v>958</v>
      </c>
      <c r="C101" s="638">
        <f>$C$8</f>
        <v>1.05</v>
      </c>
      <c r="D101" s="638">
        <f t="shared" si="4"/>
        <v>0.94500000000000006</v>
      </c>
      <c r="E101" s="638">
        <f t="shared" si="5"/>
        <v>1.1550000000000002</v>
      </c>
      <c r="F101" s="64" cm="1">
        <f t="array" aca="1" ref="F101" ca="1">_xlfn.LET(_xlpm.rf,$C$7,_xlpm.b,D101,_xlpm.erp,$C$9,_xlpm.kd,$C$10,_xlpm.tx,$C$11,_xlpm.de,$C$12,_xlpm.g,$C$13,_xlpm.w,(_xlpm.rf+_xlpm.b*_xlpm.erp)*(1-_xlpm.de)+_xlpm.kd*(1-_xlpm.tx)*_xlpm.de,((SUMPRODUCT($G$30:$M$30,1/(1+_xlpm.w)^$G$32:$M$32)+$M$30*(1+_xlpm.g)/(_xlpm.w-_xlpm.g)/(1+_xlpm.w)^$M$32)+($C$46-$C$40))/$C$47*1000)</f>
        <v>22083.964359358368</v>
      </c>
      <c r="G101" s="64" cm="1">
        <f t="array" aca="1" ref="G101" ca="1">_xlfn.LET(_xlpm.rf,$C$7,_xlpm.b,E101,_xlpm.erp,$C$9,_xlpm.kd,$C$10,_xlpm.tx,$C$11,_xlpm.de,$C$12,_xlpm.g,$C$13,_xlpm.w,(_xlpm.rf+_xlpm.b*_xlpm.erp)*(1-_xlpm.de)+_xlpm.kd*(1-_xlpm.tx)*_xlpm.de,((SUMPRODUCT($G$30:$M$30,1/(1+_xlpm.w)^$G$32:$M$32)+$M$30*(1+_xlpm.g)/(_xlpm.w-_xlpm.g)/(1+_xlpm.w)^$M$32)+($C$46-$C$40))/$C$47*1000)</f>
        <v>19082.976895855347</v>
      </c>
      <c r="H101" s="62">
        <f t="shared" ca="1" si="6"/>
        <v>0.10833822222920775</v>
      </c>
      <c r="I101" s="62">
        <f t="shared" ca="1" si="6"/>
        <v>-4.2273735665100065E-2</v>
      </c>
      <c r="J101" s="636">
        <f ca="1">(I101-H101)/0.2</f>
        <v>-0.75305978947153906</v>
      </c>
      <c r="K101" s="637">
        <f t="shared" ca="1" si="8"/>
        <v>0.15061195789430781</v>
      </c>
    </row>
    <row r="102" spans="2:11" ht="20.25" customHeight="1">
      <c r="B102" t="s">
        <v>1001</v>
      </c>
      <c r="C102" s="63">
        <f>$C$9</f>
        <v>9.11E-2</v>
      </c>
      <c r="D102" s="63">
        <f t="shared" si="4"/>
        <v>8.1990000000000007E-2</v>
      </c>
      <c r="E102" s="63">
        <f t="shared" si="5"/>
        <v>0.10021000000000001</v>
      </c>
      <c r="F102" s="64" cm="1">
        <f t="array" aca="1" ref="F102" ca="1">_xlfn.LET(_xlpm.rf,$C$7,_xlpm.b,$C$8,_xlpm.erp,D102,_xlpm.kd,$C$10,_xlpm.tx,$C$11,_xlpm.de,$C$12,_xlpm.g,$C$13,_xlpm.w,(_xlpm.rf+_xlpm.b*_xlpm.erp)*(1-_xlpm.de)+_xlpm.kd*(1-_xlpm.tx)*_xlpm.de,((SUMPRODUCT($G$30:$M$30,1/(1+_xlpm.w)^$G$32:$M$32)+$M$30*(1+_xlpm.g)/(_xlpm.w-_xlpm.g)/(1+_xlpm.w)^$M$32)+($C$46-$C$40))/$C$47*1000)</f>
        <v>22083.964359358361</v>
      </c>
      <c r="G102" s="64" cm="1">
        <f t="array" aca="1" ref="G102" ca="1">_xlfn.LET(_xlpm.rf,$C$7,_xlpm.b,$C$8,_xlpm.erp,E102,_xlpm.kd,$C$10,_xlpm.tx,$C$11,_xlpm.de,$C$12,_xlpm.g,$C$13,_xlpm.w,(_xlpm.rf+_xlpm.b*_xlpm.erp)*(1-_xlpm.de)+_xlpm.kd*(1-_xlpm.tx)*_xlpm.de,((SUMPRODUCT($G$30:$M$30,1/(1+_xlpm.w)^$G$32:$M$32)+$M$30*(1+_xlpm.g)/(_xlpm.w-_xlpm.g)/(1+_xlpm.w)^$M$32)+($C$46-$C$40))/$C$47*1000)</f>
        <v>19082.976895855347</v>
      </c>
      <c r="H102" s="62">
        <f t="shared" ca="1" si="6"/>
        <v>0.10833822222920753</v>
      </c>
      <c r="I102" s="62">
        <f t="shared" ca="1" si="6"/>
        <v>-4.2273735665100065E-2</v>
      </c>
      <c r="J102" s="636">
        <f t="shared" ca="1" si="7"/>
        <v>-0.75305978947153795</v>
      </c>
      <c r="K102" s="637">
        <f t="shared" ca="1" si="8"/>
        <v>0.15061195789430759</v>
      </c>
    </row>
    <row r="103" spans="2:11" ht="20.25" customHeight="1">
      <c r="B103" t="s">
        <v>1002</v>
      </c>
      <c r="C103" s="63">
        <f>$C$10</f>
        <v>0.11</v>
      </c>
      <c r="D103" s="63">
        <f t="shared" si="4"/>
        <v>9.9000000000000005E-2</v>
      </c>
      <c r="E103" s="63">
        <f t="shared" si="5"/>
        <v>0.12100000000000001</v>
      </c>
      <c r="F103" s="64" cm="1">
        <f t="array" aca="1" ref="F103" ca="1">_xlfn.LET(_xlpm.rf,$C$7,_xlpm.b,$C$8,_xlpm.erp,$C$9,_xlpm.kd,D103,_xlpm.tx,$C$11,_xlpm.de,$C$12,_xlpm.g,$C$13,_xlpm.w,(_xlpm.rf+_xlpm.b*_xlpm.erp)*(1-_xlpm.de)+_xlpm.kd*(1-_xlpm.tx)*_xlpm.de,((SUMPRODUCT($G$30:$M$30,1/(1+_xlpm.w)^$G$32:$M$32)+$M$30*(1+_xlpm.g)/(_xlpm.w-_xlpm.g)/(1+_xlpm.w)^$M$32)+($C$46-$C$40))/$C$47*1000)</f>
        <v>21252.19442852119</v>
      </c>
      <c r="G103" s="64" cm="1">
        <f t="array" aca="1" ref="G103" ca="1">_xlfn.LET(_xlpm.rf,$C$7,_xlpm.b,$C$8,_xlpm.erp,$C$9,_xlpm.kd,E103,_xlpm.tx,$C$11,_xlpm.de,$C$12,_xlpm.g,$C$13,_xlpm.w,(_xlpm.rf+_xlpm.b*_xlpm.erp)*(1-_xlpm.de)+_xlpm.kd*(1-_xlpm.tx)*_xlpm.de,((SUMPRODUCT($G$30:$M$30,1/(1+_xlpm.w)^$G$32:$M$32)+$M$30*(1+_xlpm.g)/(_xlpm.w-_xlpm.g)/(1+_xlpm.w)^$M$32)+($C$46-$C$40))/$C$47*1000)</f>
        <v>19770.173769635257</v>
      </c>
      <c r="H103" s="62">
        <f t="shared" ca="1" si="6"/>
        <v>6.6593796661108762E-2</v>
      </c>
      <c r="I103" s="62">
        <f t="shared" ca="1" si="6"/>
        <v>-7.7850655598189489E-3</v>
      </c>
      <c r="J103" s="636">
        <f t="shared" ca="1" si="7"/>
        <v>-0.37189431110463855</v>
      </c>
      <c r="K103" s="637">
        <f t="shared" ca="1" si="8"/>
        <v>7.4378862220927711E-2</v>
      </c>
    </row>
    <row r="104" spans="2:11" ht="20.25" customHeight="1">
      <c r="B104" t="s">
        <v>780</v>
      </c>
      <c r="C104" s="639">
        <f>$C$11</f>
        <v>0.2</v>
      </c>
      <c r="D104" s="639">
        <f t="shared" si="4"/>
        <v>0.18000000000000002</v>
      </c>
      <c r="E104" s="639">
        <f t="shared" si="5"/>
        <v>0.22000000000000003</v>
      </c>
      <c r="F104" s="64" cm="1">
        <f t="array" aca="1" ref="F104" ca="1">_xlfn.LET(_xlpm.rf,$C$7,_xlpm.b,$C$8,_xlpm.erp,$C$9,_xlpm.kd,$C$10,_xlpm.tx,D104,_xlpm.de,$C$12,_xlpm.g,$C$13,_xlpm.w,(_xlpm.rf+_xlpm.b*_xlpm.erp)*(1-_xlpm.de)+_xlpm.kd*(1-_xlpm.tx)*_xlpm.de,((SUMPRODUCT($G$30:$M$30,1/(1+_xlpm.w)^$G$32:$M$32)+$M$30*(1+_xlpm.g)/(_xlpm.w-_xlpm.g)/(1+_xlpm.w)^$M$32)+($C$46-$C$40))/$C$47*1000)</f>
        <v>20304.156309500322</v>
      </c>
      <c r="G104" s="64" cm="1">
        <f t="array" aca="1" ref="G104" ca="1">_xlfn.LET(_xlpm.rf,$C$7,_xlpm.b,$C$8,_xlpm.erp,$C$9,_xlpm.kd,$C$10,_xlpm.tx,E104,_xlpm.de,$C$12,_xlpm.g,$C$13,_xlpm.w,(_xlpm.rf+_xlpm.b*_xlpm.erp)*(1-_xlpm.de)+_xlpm.kd*(1-_xlpm.tx)*_xlpm.de,((SUMPRODUCT($G$30:$M$30,1/(1+_xlpm.w)^$G$32:$M$32)+$M$30*(1+_xlpm.g)/(_xlpm.w-_xlpm.g)/(1+_xlpm.w)^$M$32)+($C$46-$C$40))/$C$47*1000)</f>
        <v>20674.313926949082</v>
      </c>
      <c r="H104" s="62">
        <f t="shared" ca="1" si="6"/>
        <v>1.901416528954103E-2</v>
      </c>
      <c r="I104" s="62">
        <f t="shared" ca="1" si="6"/>
        <v>3.7591438327654103E-2</v>
      </c>
      <c r="J104" s="636">
        <f t="shared" ca="1" si="7"/>
        <v>9.2886365190565368E-2</v>
      </c>
      <c r="K104" s="637">
        <f t="shared" ca="1" si="8"/>
        <v>1.8577273038113074E-2</v>
      </c>
    </row>
    <row r="105" spans="2:11" ht="20.25" customHeight="1">
      <c r="B105" t="s">
        <v>1003</v>
      </c>
      <c r="C105" s="639">
        <f>$C$12</f>
        <v>0.35</v>
      </c>
      <c r="D105" s="639">
        <f t="shared" si="4"/>
        <v>0.315</v>
      </c>
      <c r="E105" s="639">
        <f t="shared" si="5"/>
        <v>0.38500000000000001</v>
      </c>
      <c r="F105" s="64" cm="1">
        <f t="array" aca="1" ref="F105" ca="1">_xlfn.LET(_xlpm.rf,$C$7,_xlpm.b,$C$8,_xlpm.erp,$C$9,_xlpm.kd,$C$10,_xlpm.tx,$C$11,_xlpm.de,D105,_xlpm.g,$C$13,_xlpm.w,(_xlpm.rf+_xlpm.b*_xlpm.erp)*(1-_xlpm.de)+_xlpm.kd*(1-_xlpm.tx)*_xlpm.de,((SUMPRODUCT($G$30:$M$30,1/(1+_xlpm.w)^$G$32:$M$32)+$M$30*(1+_xlpm.g)/(_xlpm.w-_xlpm.g)/(1+_xlpm.w)^$M$32)+($C$46-$C$40))/$C$47*1000)</f>
        <v>20053.049249577976</v>
      </c>
      <c r="G105" s="64" cm="1">
        <f t="array" aca="1" ref="G105" ca="1">_xlfn.LET(_xlpm.rf,$C$7,_xlpm.b,$C$8,_xlpm.erp,$C$9,_xlpm.kd,$C$10,_xlpm.tx,$C$11,_xlpm.de,E105,_xlpm.g,$C$13,_xlpm.w,(_xlpm.rf+_xlpm.b*_xlpm.erp)*(1-_xlpm.de)+_xlpm.kd*(1-_xlpm.tx)*_xlpm.de,((SUMPRODUCT($G$30:$M$30,1/(1+_xlpm.w)^$G$32:$M$32)+$M$30*(1+_xlpm.g)/(_xlpm.w-_xlpm.g)/(1+_xlpm.w)^$M$32)+($C$46-$C$40))/$C$47*1000)</f>
        <v>20939.249900378578</v>
      </c>
      <c r="H105" s="62">
        <f t="shared" ca="1" si="6"/>
        <v>6.4117381231705295E-3</v>
      </c>
      <c r="I105" s="62">
        <f t="shared" ca="1" si="6"/>
        <v>5.088790362786999E-2</v>
      </c>
      <c r="J105" s="636">
        <f t="shared" ca="1" si="7"/>
        <v>0.2223808275234973</v>
      </c>
      <c r="K105" s="637">
        <f t="shared" ca="1" si="8"/>
        <v>4.4476165504699461E-2</v>
      </c>
    </row>
    <row r="106" spans="2:11" ht="20.25" customHeight="1">
      <c r="B106" t="s">
        <v>1004</v>
      </c>
      <c r="C106" s="63">
        <f>$C$13</f>
        <v>2.5000000000000001E-2</v>
      </c>
      <c r="D106" s="63">
        <f t="shared" si="4"/>
        <v>2.2500000000000003E-2</v>
      </c>
      <c r="E106" s="63">
        <f t="shared" si="5"/>
        <v>2.7500000000000004E-2</v>
      </c>
      <c r="F106" s="64" cm="1">
        <f t="array" aca="1" ref="F106" ca="1">_xlfn.LET(_xlpm.rf,$C$7,_xlpm.b,$C$8,_xlpm.erp,$C$9,_xlpm.kd,$C$10,_xlpm.tx,$C$11,_xlpm.de,$C$12,_xlpm.g,D106,_xlpm.w,(_xlpm.rf+_xlpm.b*_xlpm.erp)*(1-_xlpm.de)+_xlpm.kd*(1-_xlpm.tx)*_xlpm.de,((SUMPRODUCT($G$30:$M$30,1/(1+_xlpm.w)^$G$32:$M$32)+$M$30*(1+_xlpm.g)/(_xlpm.w-_xlpm.g)/(1+_xlpm.w)^$M$32)+($C$46-$C$40))/$C$47*1000)</f>
        <v>20138.791240485774</v>
      </c>
      <c r="G106" s="64" cm="1">
        <f t="array" aca="1" ref="G106" ca="1">_xlfn.LET(_xlpm.rf,$C$7,_xlpm.b,$C$8,_xlpm.erp,$C$9,_xlpm.kd,$C$10,_xlpm.tx,$C$11,_xlpm.de,$C$12,_xlpm.g,E106,_xlpm.w,(_xlpm.rf+_xlpm.b*_xlpm.erp)*(1-_xlpm.de)+_xlpm.kd*(1-_xlpm.tx)*_xlpm.de,((SUMPRODUCT($G$30:$M$30,1/(1+_xlpm.w)^$G$32:$M$32)+$M$30*(1+_xlpm.g)/(_xlpm.w-_xlpm.g)/(1+_xlpm.w)^$M$32)+($C$46-$C$40))/$C$47*1000)</f>
        <v>20855.17605657379</v>
      </c>
      <c r="H106" s="62">
        <f t="shared" ca="1" si="6"/>
        <v>1.0714911422436968E-2</v>
      </c>
      <c r="I106" s="62">
        <f t="shared" ca="1" si="6"/>
        <v>4.6668450405509931E-2</v>
      </c>
      <c r="J106" s="636">
        <f t="shared" ca="1" si="7"/>
        <v>0.17976769491536482</v>
      </c>
      <c r="K106" s="637">
        <f t="shared" ca="1" si="8"/>
        <v>3.5953538983072963E-2</v>
      </c>
    </row>
    <row r="107" spans="2:11" ht="20.25" customHeight="1">
      <c r="B107" t="s">
        <v>1247</v>
      </c>
      <c r="C107" s="638">
        <v>1</v>
      </c>
      <c r="D107" s="638">
        <v>0.9</v>
      </c>
      <c r="E107" s="638">
        <v>1.1000000000000001</v>
      </c>
      <c r="F107" s="64" cm="1">
        <f t="array" aca="1" ref="F107" ca="1">_xlfn.LET(_xlpm.rf,$C$7,_xlpm.b,$C$8,_xlpm.erp,$C$9,_xlpm.kd,$C$10,_xlpm.tx,$C$11,_xlpm.de,$C$12,_xlpm.g,$C$13,_xlpm.m,D107,_xlpm.w,(_xlpm.rf+_xlpm.b*_xlpm.erp)*(1-_xlpm.de)+_xlpm.kd*(1-_xlpm.tx)*_xlpm.de,((SUMPRODUCT($G$30:$M$30,1/(1+_xlpm.w)^$G$32:$M$32)*_xlpm.m+$M$30*_xlpm.m*(1+_xlpm.g)/(_xlpm.w-_xlpm.g)/(1+_xlpm.w)^$M$32)+($C$46-$C$40))/$C$47*1000)</f>
        <v>18237.85398044499</v>
      </c>
      <c r="G107" s="64" cm="1">
        <f t="array" aca="1" ref="G107" ca="1">_xlfn.LET(_xlpm.rf,$C$7,_xlpm.b,$C$8,_xlpm.erp,$C$9,_xlpm.kd,$C$10,_xlpm.tx,$C$11,_xlpm.de,$C$12,_xlpm.g,$C$13,_xlpm.m,E107,_xlpm.w,(_xlpm.rf+_xlpm.b*_xlpm.erp)*(1-_xlpm.de)+_xlpm.kd*(1-_xlpm.tx)*_xlpm.de,((SUMPRODUCT($G$30:$M$30,1/(1+_xlpm.w)^$G$32:$M$32)*_xlpm.m+$M$30*_xlpm.m*(1+_xlpm.g)/(_xlpm.w-_xlpm.g)/(1+_xlpm.w)^$M$32)+($C$46-$C$40))/$C$47*1000)</f>
        <v>22737.692661178949</v>
      </c>
      <c r="H107" s="62">
        <f ca="1">F107/$C$48-1</f>
        <v>-8.4688313699598172E-2</v>
      </c>
      <c r="I107" s="62">
        <f ca="1">G107/$C$48-1</f>
        <v>0.14114718949933036</v>
      </c>
      <c r="J107" s="636">
        <f ca="1">(I107-H107)/0.2</f>
        <v>1.1291775159946427</v>
      </c>
      <c r="K107" s="637">
        <f ca="1">ABS(I107-H107)</f>
        <v>0.22583550319892853</v>
      </c>
    </row>
    <row r="108" spans="2:11" ht="20.25" customHeight="1"/>
    <row r="109" spans="2:11" ht="20.25" customHeight="1"/>
    <row r="110" spans="2:11" ht="20.25" customHeight="1"/>
    <row r="111" spans="2:11" ht="20.25" customHeight="1"/>
    <row r="112" spans="2:11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  <row r="229" ht="20.25" customHeight="1"/>
    <row r="230" ht="20.25" customHeight="1"/>
    <row r="231" ht="20.25" customHeight="1"/>
    <row r="232" ht="20.25" customHeight="1"/>
    <row r="233" ht="20.25" customHeight="1"/>
    <row r="234" ht="20.25" customHeight="1"/>
    <row r="235" ht="20.25" customHeight="1"/>
    <row r="236" ht="20.25" customHeight="1"/>
    <row r="237" ht="20.25" customHeight="1"/>
    <row r="238" ht="20.25" customHeight="1"/>
    <row r="239" ht="20.25" customHeight="1"/>
    <row r="240" ht="20.25" customHeight="1"/>
    <row r="241" ht="20.25" customHeight="1"/>
    <row r="242" ht="20.25" customHeight="1"/>
    <row r="243" ht="20.25" customHeight="1"/>
    <row r="244" ht="20.25" customHeight="1"/>
    <row r="245" ht="20.25" customHeight="1"/>
    <row r="246" ht="20.25" customHeight="1"/>
    <row r="247" ht="20.25" customHeight="1"/>
    <row r="248" ht="20.25" customHeight="1"/>
    <row r="249" ht="20.25" customHeight="1"/>
    <row r="250" ht="20.25" customHeight="1"/>
    <row r="251" ht="20.25" customHeight="1"/>
    <row r="252" ht="20.25" customHeight="1"/>
    <row r="253" ht="20.25" customHeight="1"/>
    <row r="254" ht="20.25" customHeight="1"/>
    <row r="255" ht="20.25" customHeight="1"/>
    <row r="256" ht="20.25" customHeight="1"/>
    <row r="257" ht="20.25" customHeight="1"/>
    <row r="258" ht="20.25" customHeight="1"/>
    <row r="259" ht="20.25" customHeight="1"/>
    <row r="260" ht="20.25" customHeight="1"/>
    <row r="261" ht="20.25" customHeight="1"/>
    <row r="262" ht="20.25" customHeight="1"/>
    <row r="263" ht="20.25" customHeight="1"/>
    <row r="264" ht="20.25" customHeight="1"/>
    <row r="265" ht="20.25" customHeight="1"/>
    <row r="266" ht="20.25" customHeight="1"/>
    <row r="267" ht="20.25" customHeight="1"/>
    <row r="268" ht="20.25" customHeight="1"/>
    <row r="269" ht="20.25" customHeight="1"/>
    <row r="270" ht="20.25" customHeight="1"/>
    <row r="271" ht="20.25" customHeight="1"/>
    <row r="272" ht="20.25" customHeight="1"/>
    <row r="273" ht="20.25" customHeight="1"/>
    <row r="274" ht="20.25" customHeight="1"/>
    <row r="275" ht="20.25" customHeight="1"/>
    <row r="276" ht="20.25" customHeight="1"/>
    <row r="277" ht="20.25" customHeight="1"/>
    <row r="278" ht="20.25" customHeight="1"/>
    <row r="279" ht="20.25" customHeight="1"/>
    <row r="280" ht="20.25" customHeight="1"/>
    <row r="281" ht="20.25" customHeight="1"/>
    <row r="282" ht="20.25" customHeight="1"/>
    <row r="283" ht="20.25" customHeight="1"/>
    <row r="284" ht="20.25" customHeight="1"/>
    <row r="285" ht="20.25" customHeight="1"/>
    <row r="286" ht="20.25" customHeight="1"/>
    <row r="287" ht="20.25" customHeight="1"/>
    <row r="288" ht="20.25" customHeight="1"/>
    <row r="289" ht="20.25" customHeight="1"/>
    <row r="290" ht="20.25" customHeight="1"/>
    <row r="291" ht="20.25" customHeight="1"/>
    <row r="292" ht="20.25" customHeight="1"/>
    <row r="293" ht="20.25" customHeight="1"/>
    <row r="294" ht="20.25" customHeight="1"/>
    <row r="295" ht="20.25" customHeight="1"/>
    <row r="296" ht="20.25" customHeight="1"/>
    <row r="297" ht="20.25" customHeight="1"/>
    <row r="298" ht="20.25" customHeight="1"/>
    <row r="299" ht="20.25" customHeight="1"/>
    <row r="300" ht="20.25" customHeight="1"/>
    <row r="301" ht="20.25" customHeight="1"/>
    <row r="302" ht="20.25" customHeight="1"/>
    <row r="303" ht="20.25" customHeight="1"/>
    <row r="304" ht="20.25" customHeight="1"/>
    <row r="305" ht="20.25" customHeight="1"/>
    <row r="306" ht="20.25" customHeight="1"/>
    <row r="307" ht="20.25" customHeight="1"/>
    <row r="308" ht="20.25" customHeight="1"/>
    <row r="309" ht="20.25" customHeight="1"/>
    <row r="310" ht="20.25" customHeight="1"/>
    <row r="311" ht="20.25" customHeight="1"/>
    <row r="312" ht="20.25" customHeight="1"/>
    <row r="313" ht="20.25" customHeight="1"/>
    <row r="314" ht="20.25" customHeight="1"/>
    <row r="315" ht="20.25" customHeight="1"/>
    <row r="316" ht="20.25" customHeight="1"/>
    <row r="317" ht="20.25" customHeight="1"/>
    <row r="318" ht="20.25" customHeight="1"/>
    <row r="319" ht="20.25" customHeight="1"/>
    <row r="320" ht="20.25" customHeight="1"/>
    <row r="321" ht="20.25" customHeight="1"/>
    <row r="322" ht="20.25" customHeight="1"/>
    <row r="323" ht="20.25" customHeight="1"/>
    <row r="324" ht="20.25" customHeight="1"/>
    <row r="325" ht="20.25" customHeight="1"/>
    <row r="326" ht="20.25" customHeight="1"/>
    <row r="327" ht="20.25" customHeight="1"/>
    <row r="328" ht="20.25" customHeight="1"/>
    <row r="329" ht="20.25" customHeight="1"/>
    <row r="330" ht="20.25" customHeight="1"/>
    <row r="331" ht="20.25" customHeight="1"/>
    <row r="332" ht="20.25" customHeight="1"/>
    <row r="333" ht="20.25" customHeight="1"/>
    <row r="334" ht="20.25" customHeight="1"/>
    <row r="335" ht="20.25" customHeight="1"/>
  </sheetData>
  <conditionalFormatting sqref="C50">
    <cfRule type="cellIs" dxfId="21" priority="1" operator="lessThan">
      <formula>-0.2</formula>
    </cfRule>
    <cfRule type="cellIs" dxfId="20" priority="2" operator="between">
      <formula>-0.2</formula>
      <formula>-0.1</formula>
    </cfRule>
    <cfRule type="cellIs" dxfId="19" priority="3" operator="between">
      <formula>-0.1</formula>
      <formula>0</formula>
    </cfRule>
    <cfRule type="cellIs" dxfId="18" priority="4" operator="greaterThan">
      <formula>0.2</formula>
    </cfRule>
    <cfRule type="cellIs" dxfId="17" priority="5" operator="between">
      <formula>0.1</formula>
      <formula>0.2</formula>
    </cfRule>
    <cfRule type="cellIs" dxfId="16" priority="6" operator="between">
      <formula>0</formula>
      <formula>0.1</formula>
    </cfRule>
  </conditionalFormatting>
  <conditionalFormatting sqref="C56:I62">
    <cfRule type="cellIs" dxfId="15" priority="7" operator="lessThan">
      <formula>-0.2</formula>
    </cfRule>
    <cfRule type="cellIs" dxfId="14" priority="8" operator="between">
      <formula>-0.2</formula>
      <formula>-0.1</formula>
    </cfRule>
    <cfRule type="cellIs" dxfId="13" priority="9" operator="between">
      <formula>-0.1</formula>
      <formula>0</formula>
    </cfRule>
    <cfRule type="cellIs" dxfId="12" priority="10" operator="greaterThan">
      <formula>0.2</formula>
    </cfRule>
    <cfRule type="cellIs" dxfId="11" priority="11" operator="between">
      <formula>0.1</formula>
      <formula>0.2</formula>
    </cfRule>
    <cfRule type="cellIs" dxfId="10" priority="12" operator="between">
      <formula>0</formula>
      <formula>0.1</formula>
    </cfRule>
  </conditionalFormatting>
  <conditionalFormatting sqref="C66:I72">
    <cfRule type="cellIs" dxfId="9" priority="13" operator="lessThan">
      <formula>-0.2</formula>
    </cfRule>
    <cfRule type="cellIs" dxfId="8" priority="14" operator="between">
      <formula>-0.2</formula>
      <formula>-0.1</formula>
    </cfRule>
    <cfRule type="cellIs" dxfId="7" priority="15" operator="between">
      <formula>-0.1</formula>
      <formula>0</formula>
    </cfRule>
    <cfRule type="cellIs" dxfId="6" priority="16" operator="greaterThan">
      <formula>0.2</formula>
    </cfRule>
    <cfRule type="cellIs" dxfId="5" priority="17" operator="between">
      <formula>0.1</formula>
      <formula>0.2</formula>
    </cfRule>
    <cfRule type="cellIs" dxfId="4" priority="18" operator="between">
      <formula>0</formula>
      <formula>0.1</formula>
    </cfRule>
  </conditionalFormatting>
  <conditionalFormatting sqref="H100:I107">
    <cfRule type="cellIs" dxfId="3" priority="20" operator="lessThan">
      <formula>-0.05</formula>
    </cfRule>
    <cfRule type="cellIs" dxfId="2" priority="21" operator="between">
      <formula>-0.05</formula>
      <formula>0</formula>
    </cfRule>
    <cfRule type="cellIs" dxfId="1" priority="22" operator="greaterThan">
      <formula>0.05</formula>
    </cfRule>
    <cfRule type="cellIs" dxfId="0" priority="23" operator="between">
      <formula>0</formula>
      <formula>0.05</formula>
    </cfRule>
  </conditionalFormatting>
  <conditionalFormatting sqref="K100:K107">
    <cfRule type="colorScale" priority="19">
      <colorScale>
        <cfvo type="min"/>
        <cfvo type="max"/>
        <color rgb="FFFFFFFF"/>
        <color rgb="FFC00000"/>
      </colorScale>
    </cfRule>
  </conditionalFormatting>
  <dataValidations count="1">
    <dataValidation type="list" allowBlank="1" showInputMessage="1" showErrorMessage="1" errorTitle="Invalid scenario" error="Choose Bear, Base, or Bull." sqref="C2" xr:uid="{51C8D18B-BE9E-425F-8F29-33304E263477}">
      <formula1>"Bear,Base,Bull"</formula1>
    </dataValidation>
  </dataValidation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CC4CE-F3D2-4FB8-ABDA-926AFD0EDB87}">
  <dimension ref="B1:N76"/>
  <sheetViews>
    <sheetView workbookViewId="0">
      <selection activeCell="L55" sqref="L55"/>
    </sheetView>
  </sheetViews>
  <sheetFormatPr defaultRowHeight="14.4"/>
  <cols>
    <col min="2" max="2" width="44.33203125" customWidth="1"/>
    <col min="3" max="3" width="6.77734375" bestFit="1" customWidth="1"/>
    <col min="4" max="4" width="45.109375" bestFit="1" customWidth="1"/>
    <col min="5" max="5" width="5.77734375" bestFit="1" customWidth="1"/>
    <col min="6" max="6" width="6.77734375" bestFit="1" customWidth="1"/>
    <col min="7" max="13" width="5.77734375" bestFit="1" customWidth="1"/>
    <col min="14" max="14" width="63.88671875" bestFit="1" customWidth="1"/>
  </cols>
  <sheetData>
    <row r="1" spans="2:14" ht="28.05" customHeight="1">
      <c r="B1" s="263" t="s">
        <v>1115</v>
      </c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4"/>
    </row>
    <row r="2" spans="2:14" ht="18" customHeight="1"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245"/>
    </row>
    <row r="3" spans="2:14">
      <c r="B3" s="270" t="s">
        <v>1077</v>
      </c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1"/>
    </row>
    <row r="4" spans="2:14">
      <c r="B4" s="199" t="s">
        <v>1078</v>
      </c>
      <c r="C4" s="265">
        <v>2021</v>
      </c>
      <c r="D4" s="265">
        <v>2022</v>
      </c>
      <c r="E4" s="265">
        <v>2023</v>
      </c>
      <c r="F4" s="265">
        <v>2024</v>
      </c>
      <c r="G4" s="265">
        <v>2025</v>
      </c>
      <c r="H4" s="265" t="s">
        <v>1116</v>
      </c>
      <c r="I4" s="265" t="s">
        <v>1117</v>
      </c>
      <c r="J4" s="265" t="s">
        <v>1118</v>
      </c>
      <c r="K4" s="265" t="s">
        <v>1119</v>
      </c>
      <c r="L4" s="265" t="s">
        <v>1120</v>
      </c>
      <c r="M4" s="265" t="s">
        <v>1121</v>
      </c>
      <c r="N4" s="266" t="s">
        <v>1079</v>
      </c>
    </row>
    <row r="5" spans="2:14">
      <c r="B5" s="165" t="s">
        <v>268</v>
      </c>
      <c r="C5" s="246">
        <f>OD_IS!D4/1000000000</f>
        <v>1079.5077933780001</v>
      </c>
      <c r="D5" s="246">
        <f>OD_IS!E4/1000000000</f>
        <v>314.12430631400002</v>
      </c>
      <c r="E5" s="246">
        <f>OD_IS!F4/1000000000</f>
        <v>411.66678489999998</v>
      </c>
      <c r="F5" s="246">
        <f>OD_IS!G4/1000000000</f>
        <v>1026.0948681719999</v>
      </c>
      <c r="G5" s="246">
        <f>OD_IS!H4/1000000000</f>
        <v>1639.0630780020001</v>
      </c>
      <c r="H5" s="246">
        <f>OD_IS!I4/1000000000</f>
        <v>2130.7820014026001</v>
      </c>
      <c r="I5" s="246">
        <f>OD_IS!J4/1000000000</f>
        <v>2599.554041711172</v>
      </c>
      <c r="J5" s="246">
        <f>OD_IS!K4/1000000000</f>
        <v>2989.4871479678477</v>
      </c>
      <c r="K5" s="246">
        <f>OD_IS!L4/1000000000</f>
        <v>3318.3307342443109</v>
      </c>
      <c r="L5" s="246">
        <f>OD_IS!M4/1000000000</f>
        <v>3583.7971929838559</v>
      </c>
      <c r="M5" s="246">
        <f>OD_IS!N4/1000000000</f>
        <v>3762.9870526330487</v>
      </c>
      <c r="N5" s="165" t="s">
        <v>1122</v>
      </c>
    </row>
    <row r="6" spans="2:14">
      <c r="B6" s="247" t="s">
        <v>1080</v>
      </c>
      <c r="C6" s="248" t="s">
        <v>1081</v>
      </c>
      <c r="D6" s="248">
        <f t="shared" ref="D6:M6" si="0">D5/C5-1</f>
        <v>-0.70901154374157782</v>
      </c>
      <c r="E6" s="248">
        <f t="shared" si="0"/>
        <v>0.31052190685459435</v>
      </c>
      <c r="F6" s="248">
        <f t="shared" si="0"/>
        <v>1.4925374254356072</v>
      </c>
      <c r="G6" s="248">
        <f t="shared" si="0"/>
        <v>0.59737966619208449</v>
      </c>
      <c r="H6" s="248">
        <f t="shared" si="0"/>
        <v>0.30000000000000004</v>
      </c>
      <c r="I6" s="248">
        <f t="shared" si="0"/>
        <v>0.21999999999999997</v>
      </c>
      <c r="J6" s="248">
        <f t="shared" si="0"/>
        <v>0.14999999999999991</v>
      </c>
      <c r="K6" s="248">
        <f t="shared" si="0"/>
        <v>0.10999999999999988</v>
      </c>
      <c r="L6" s="248">
        <f t="shared" si="0"/>
        <v>8.0000000000000071E-2</v>
      </c>
      <c r="M6" s="248">
        <f t="shared" si="0"/>
        <v>5.0000000000000044E-2</v>
      </c>
      <c r="N6" s="165" t="s">
        <v>1123</v>
      </c>
    </row>
    <row r="7" spans="2:14">
      <c r="B7" s="165" t="s">
        <v>1082</v>
      </c>
      <c r="C7" s="246">
        <f>OD_IS!D6/1000000000</f>
        <v>34.125089961999997</v>
      </c>
      <c r="D7" s="246">
        <f>OD_IS!E6/1000000000</f>
        <v>104.478685752</v>
      </c>
      <c r="E7" s="246">
        <f>OD_IS!F6/1000000000</f>
        <v>115.185831908</v>
      </c>
      <c r="F7" s="246">
        <f>OD_IS!G6/1000000000</f>
        <v>170.85116417500001</v>
      </c>
      <c r="G7" s="246">
        <f>OD_IS!H6/1000000000</f>
        <v>215.03470860300001</v>
      </c>
      <c r="H7" s="246">
        <f>OD_IS!I6/1000000000</f>
        <v>277.00166018233813</v>
      </c>
      <c r="I7" s="246">
        <f>OD_IS!J6/1000000000</f>
        <v>363.93756583956394</v>
      </c>
      <c r="J7" s="246">
        <f>OD_IS!K6/1000000000</f>
        <v>478.31794367485594</v>
      </c>
      <c r="K7" s="246">
        <f>OD_IS!L6/1000000000</f>
        <v>597.2995321639761</v>
      </c>
      <c r="L7" s="246">
        <f>OD_IS!M6/1000000000</f>
        <v>680.92146666693259</v>
      </c>
      <c r="M7" s="246">
        <f>OD_IS!N6/1000000000</f>
        <v>714.96754000027931</v>
      </c>
      <c r="N7" s="165" t="s">
        <v>1124</v>
      </c>
    </row>
    <row r="8" spans="2:14">
      <c r="B8" s="247" t="s">
        <v>1125</v>
      </c>
      <c r="C8" s="248">
        <f t="shared" ref="C8:M8" si="1">C7/C5</f>
        <v>3.1611712459449347E-2</v>
      </c>
      <c r="D8" s="248">
        <f t="shared" si="1"/>
        <v>0.33260299713185087</v>
      </c>
      <c r="E8" s="248">
        <f t="shared" si="1"/>
        <v>0.27980355990095329</v>
      </c>
      <c r="F8" s="248">
        <f t="shared" si="1"/>
        <v>0.16650620666232682</v>
      </c>
      <c r="G8" s="248">
        <f t="shared" si="1"/>
        <v>0.13119367490427822</v>
      </c>
      <c r="H8" s="248">
        <f t="shared" si="1"/>
        <v>0.13000000000000006</v>
      </c>
      <c r="I8" s="248">
        <f t="shared" si="1"/>
        <v>0.13999999999999996</v>
      </c>
      <c r="J8" s="248">
        <f t="shared" si="1"/>
        <v>0.16000000000000011</v>
      </c>
      <c r="K8" s="248">
        <f t="shared" si="1"/>
        <v>0.18000000000000005</v>
      </c>
      <c r="L8" s="248">
        <f t="shared" si="1"/>
        <v>0.19</v>
      </c>
      <c r="M8" s="248">
        <f t="shared" si="1"/>
        <v>0.19</v>
      </c>
      <c r="N8" s="165" t="s">
        <v>1126</v>
      </c>
    </row>
    <row r="9" spans="2:14">
      <c r="B9" s="165" t="s">
        <v>1083</v>
      </c>
      <c r="C9" s="246">
        <f>OD_IS!D9/1000000000</f>
        <v>-263.75766294900001</v>
      </c>
      <c r="D9" s="246">
        <f>OD_IS!E9/1000000000</f>
        <v>-9.5642389750000003</v>
      </c>
      <c r="E9" s="246">
        <f>OD_IS!F9/1000000000</f>
        <v>34.02485746</v>
      </c>
      <c r="F9" s="246">
        <f>OD_IS!G9/1000000000</f>
        <v>-7.0218771689999997</v>
      </c>
      <c r="G9" s="246">
        <f>OD_IS!H9/1000000000</f>
        <v>7.9368392769999998</v>
      </c>
      <c r="H9" s="246">
        <f>OD_IS!I9/1000000000</f>
        <v>10.653910007013122</v>
      </c>
      <c r="I9" s="246">
        <f>OD_IS!J9/1000000000</f>
        <v>44.192418709089814</v>
      </c>
      <c r="J9" s="246">
        <f>OD_IS!K9/1000000000</f>
        <v>119.57948591871423</v>
      </c>
      <c r="K9" s="246">
        <f>OD_IS!L9/1000000000</f>
        <v>205.73650552314734</v>
      </c>
      <c r="L9" s="246">
        <f>OD_IS!M9/1000000000</f>
        <v>268.7847894737892</v>
      </c>
      <c r="M9" s="246">
        <f>OD_IS!N9/1000000000</f>
        <v>282.22402894747876</v>
      </c>
      <c r="N9" s="165" t="s">
        <v>1127</v>
      </c>
    </row>
    <row r="10" spans="2:14">
      <c r="B10" s="247" t="s">
        <v>611</v>
      </c>
      <c r="C10" s="246">
        <f>OD_IS!D10/1000000000</f>
        <v>423.84934859499998</v>
      </c>
      <c r="D10" s="246">
        <f>OD_IS!E10/1000000000</f>
        <v>47.340388199000003</v>
      </c>
      <c r="E10" s="246">
        <f>OD_IS!F10/1000000000</f>
        <v>43.586401680000002</v>
      </c>
      <c r="F10" s="246">
        <f>OD_IS!G10/1000000000</f>
        <v>191.90650691299999</v>
      </c>
      <c r="G10" s="246">
        <f>OD_IS!H10/1000000000</f>
        <v>120.349183176</v>
      </c>
      <c r="H10" s="246">
        <f>OD_IS!I10/1000000000</f>
        <v>127.84692008415601</v>
      </c>
      <c r="I10" s="246">
        <f>OD_IS!J10/1000000000</f>
        <v>129.9777020855586</v>
      </c>
      <c r="J10" s="246">
        <f>OD_IS!K10/1000000000</f>
        <v>119.57948591871391</v>
      </c>
      <c r="K10" s="246">
        <f>OD_IS!L10/1000000000</f>
        <v>116.14157569855091</v>
      </c>
      <c r="L10" s="246">
        <f>OD_IS!M10/1000000000</f>
        <v>125.43290175443497</v>
      </c>
      <c r="M10" s="246">
        <f>OD_IS!N10/1000000000</f>
        <v>131.70454684215673</v>
      </c>
      <c r="N10" s="165" t="s">
        <v>1128</v>
      </c>
    </row>
    <row r="11" spans="2:14">
      <c r="B11" s="165" t="s">
        <v>1129</v>
      </c>
      <c r="C11" s="246">
        <f>OD_IS!D16/1000000000</f>
        <v>98.316716306999993</v>
      </c>
      <c r="D11" s="246">
        <f>OD_IS!E16/1000000000</f>
        <v>28.915008361000002</v>
      </c>
      <c r="E11" s="246">
        <f>OD_IS!F16/1000000000</f>
        <v>28.924117934000002</v>
      </c>
      <c r="F11" s="246">
        <f>OD_IS!G16/1000000000</f>
        <v>118.55275954</v>
      </c>
      <c r="G11" s="246">
        <f>OD_IS!H16/1000000000</f>
        <v>99.631384075</v>
      </c>
      <c r="H11" s="246">
        <f>OD_IS!I16/1000000000</f>
        <v>100.97564354418911</v>
      </c>
      <c r="I11" s="246">
        <f>OD_IS!J16/1000000000</f>
        <v>136.6449342476684</v>
      </c>
      <c r="J11" s="246">
        <f>OD_IS!K16/1000000000</f>
        <v>201.63378529044815</v>
      </c>
      <c r="K11" s="246">
        <f>OD_IS!L16/1000000000</f>
        <v>284.35289467471824</v>
      </c>
      <c r="L11" s="246">
        <f>OD_IS!M16/1000000000</f>
        <v>356.69250468124415</v>
      </c>
      <c r="M11" s="246">
        <f>OD_IS!N16/1000000000</f>
        <v>376.40338924265552</v>
      </c>
      <c r="N11" s="165"/>
    </row>
    <row r="12" spans="2:14">
      <c r="B12" s="249" t="s">
        <v>1130</v>
      </c>
      <c r="C12" s="250">
        <f>OD_IS!D21/1000000000</f>
        <v>29.990231361999999</v>
      </c>
      <c r="D12" s="250">
        <f>OD_IS!E21/1000000000</f>
        <v>24.890860314000001</v>
      </c>
      <c r="E12" s="250">
        <f>OD_IS!F21/1000000000</f>
        <v>26.518959327000001</v>
      </c>
      <c r="F12" s="250">
        <f>OD_IS!G21/1000000000</f>
        <v>130.50450627199999</v>
      </c>
      <c r="G12" s="250">
        <f>OD_IS!H21/1000000000</f>
        <v>82.353088776999996</v>
      </c>
      <c r="H12" s="250">
        <f>OD_IS!I21/1000000000</f>
        <v>80.780514835351283</v>
      </c>
      <c r="I12" s="250">
        <f>OD_IS!J21/1000000000</f>
        <v>109.31594739813472</v>
      </c>
      <c r="J12" s="250">
        <f>OD_IS!K21/1000000000</f>
        <v>161.30702823235853</v>
      </c>
      <c r="K12" s="250">
        <f>OD_IS!L21/1000000000</f>
        <v>227.48231573977461</v>
      </c>
      <c r="L12" s="250">
        <f>OD_IS!M21/1000000000</f>
        <v>285.35400374499528</v>
      </c>
      <c r="M12" s="250">
        <f>OD_IS!N21/1000000000</f>
        <v>301.12271139412439</v>
      </c>
      <c r="N12" s="240" t="s">
        <v>1131</v>
      </c>
    </row>
    <row r="13" spans="2:14">
      <c r="B13" s="247" t="s">
        <v>1132</v>
      </c>
      <c r="C13" s="248">
        <f t="shared" ref="C13:M13" si="2">C12/C5</f>
        <v>2.7781394026025925E-2</v>
      </c>
      <c r="D13" s="248">
        <f t="shared" si="2"/>
        <v>7.9238886688122082E-2</v>
      </c>
      <c r="E13" s="248">
        <f t="shared" si="2"/>
        <v>6.4418506179559409E-2</v>
      </c>
      <c r="F13" s="248">
        <f t="shared" si="2"/>
        <v>0.12718561443007242</v>
      </c>
      <c r="G13" s="248">
        <f t="shared" si="2"/>
        <v>5.0244002126743958E-2</v>
      </c>
      <c r="H13" s="248">
        <f t="shared" si="2"/>
        <v>3.7911205736756277E-2</v>
      </c>
      <c r="I13" s="248">
        <f t="shared" si="2"/>
        <v>4.2051807980947702E-2</v>
      </c>
      <c r="J13" s="248">
        <f t="shared" si="2"/>
        <v>5.3958093896476392E-2</v>
      </c>
      <c r="K13" s="248">
        <f t="shared" si="2"/>
        <v>6.8553237744573267E-2</v>
      </c>
      <c r="L13" s="248">
        <f t="shared" si="2"/>
        <v>7.9623368282012247E-2</v>
      </c>
      <c r="M13" s="248">
        <f t="shared" si="2"/>
        <v>8.0022255506678366E-2</v>
      </c>
      <c r="N13" s="165" t="s">
        <v>1133</v>
      </c>
    </row>
    <row r="14" spans="2:14"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</row>
    <row r="15" spans="2:14">
      <c r="B15" s="270" t="s">
        <v>1084</v>
      </c>
      <c r="C15" s="270"/>
      <c r="D15" s="270"/>
      <c r="E15" s="270"/>
      <c r="F15" s="270"/>
      <c r="G15" s="270"/>
      <c r="H15" s="270"/>
      <c r="I15" s="270"/>
      <c r="J15" s="270"/>
      <c r="K15" s="270"/>
      <c r="L15" s="270"/>
      <c r="M15" s="270"/>
      <c r="N15" s="270"/>
    </row>
    <row r="16" spans="2:14">
      <c r="B16" s="199" t="s">
        <v>1078</v>
      </c>
      <c r="C16" s="200">
        <v>2021</v>
      </c>
      <c r="D16" s="200">
        <v>2022</v>
      </c>
      <c r="E16" s="200">
        <v>2023</v>
      </c>
      <c r="F16" s="200">
        <v>2024</v>
      </c>
      <c r="G16" s="200">
        <v>2025</v>
      </c>
      <c r="H16" s="200" t="s">
        <v>1116</v>
      </c>
      <c r="I16" s="200" t="s">
        <v>1117</v>
      </c>
      <c r="J16" s="200" t="s">
        <v>1118</v>
      </c>
      <c r="K16" s="200" t="s">
        <v>1119</v>
      </c>
      <c r="L16" s="200" t="s">
        <v>1120</v>
      </c>
      <c r="M16" s="200" t="s">
        <v>1121</v>
      </c>
      <c r="N16" s="200" t="s">
        <v>1079</v>
      </c>
    </row>
    <row r="17" spans="2:14">
      <c r="B17" s="240" t="s">
        <v>1085</v>
      </c>
      <c r="C17" s="246">
        <f>OD_BS!D4/1000000000</f>
        <v>1388.4671461979999</v>
      </c>
      <c r="D17" s="246">
        <f>OD_BS!E4/1000000000</f>
        <v>1311.9322975719999</v>
      </c>
      <c r="E17" s="246">
        <f>OD_BS!F4/1000000000</f>
        <v>1891.225676406</v>
      </c>
      <c r="F17" s="246">
        <f>OD_BS!G4/1000000000</f>
        <v>2814.732850457</v>
      </c>
      <c r="G17" s="246">
        <f>OD_BS!H4/1000000000</f>
        <v>3066.2341600630002</v>
      </c>
      <c r="H17" s="246">
        <f>OD_BS!I4/1000000000</f>
        <v>2370.375789157416</v>
      </c>
      <c r="I17" s="246">
        <f>OD_BS!J4/1000000000</f>
        <v>2279.6021813884136</v>
      </c>
      <c r="J17" s="246">
        <f>OD_BS!K4/1000000000</f>
        <v>2171.0504868201174</v>
      </c>
      <c r="K17" s="246">
        <f>OD_BS!L4/1000000000</f>
        <v>2022.2691347679236</v>
      </c>
      <c r="L17" s="246">
        <f>OD_BS!M4/1000000000</f>
        <v>1934.9573864874142</v>
      </c>
      <c r="M17" s="246">
        <f>OD_BS!N4/1000000000</f>
        <v>1817.1291342971292</v>
      </c>
      <c r="N17" s="165" t="s">
        <v>1134</v>
      </c>
    </row>
    <row r="18" spans="2:14">
      <c r="B18" s="165" t="s">
        <v>1086</v>
      </c>
      <c r="C18" s="246">
        <f>OD_BS!D6/1000000000</f>
        <v>4.3212258739999996</v>
      </c>
      <c r="D18" s="246">
        <f>OD_BS!E6/1000000000</f>
        <v>26.473013863999999</v>
      </c>
      <c r="E18" s="246">
        <f>OD_BS!F6/1000000000</f>
        <v>8.4613393569999999</v>
      </c>
      <c r="F18" s="246">
        <f>OD_BS!G6/1000000000</f>
        <v>136.236074178</v>
      </c>
      <c r="G18" s="246">
        <f>OD_BS!H6/1000000000</f>
        <v>288.524181242</v>
      </c>
      <c r="H18" s="246">
        <f>OD_BS!I6/1000000000</f>
        <v>288.524181242</v>
      </c>
      <c r="I18" s="246">
        <f>OD_BS!J6/1000000000</f>
        <v>288.524181242</v>
      </c>
      <c r="J18" s="246">
        <f>OD_BS!K6/1000000000</f>
        <v>288.524181242</v>
      </c>
      <c r="K18" s="246">
        <f>OD_BS!L6/1000000000</f>
        <v>288.524181242</v>
      </c>
      <c r="L18" s="246">
        <f>OD_BS!M6/1000000000</f>
        <v>288.524181242</v>
      </c>
      <c r="M18" s="246">
        <f>OD_BS!N6/1000000000</f>
        <v>288.524181242</v>
      </c>
      <c r="N18" s="165" t="s">
        <v>1135</v>
      </c>
    </row>
    <row r="19" spans="2:14">
      <c r="B19" s="165" t="s">
        <v>1087</v>
      </c>
      <c r="C19" s="246">
        <f>OD_BS!D8/1000000000</f>
        <v>1059.5575856119999</v>
      </c>
      <c r="D19" s="246">
        <f>OD_BS!E8/1000000000</f>
        <v>541.29693211200004</v>
      </c>
      <c r="E19" s="246">
        <f>OD_BS!F8/1000000000</f>
        <v>845.395421575</v>
      </c>
      <c r="F19" s="246">
        <f>OD_BS!G8/1000000000</f>
        <v>1101.9304517400001</v>
      </c>
      <c r="G19" s="246">
        <f>OD_BS!H8/1000000000</f>
        <v>1305.1999476430001</v>
      </c>
      <c r="H19" s="246">
        <f>OD_BS!I8/1000000000</f>
        <v>700.53106895427936</v>
      </c>
      <c r="I19" s="246">
        <f>OD_BS!J8/1000000000</f>
        <v>712.20658677018412</v>
      </c>
      <c r="J19" s="246">
        <f>OD_BS!K8/1000000000</f>
        <v>737.13381730714048</v>
      </c>
      <c r="K19" s="246">
        <f>OD_BS!L8/1000000000</f>
        <v>727.30536640971195</v>
      </c>
      <c r="L19" s="246">
        <f>OD_BS!M8/1000000000</f>
        <v>785.48979572248891</v>
      </c>
      <c r="M19" s="246">
        <f>OD_BS!N8/1000000000</f>
        <v>824.7642855086134</v>
      </c>
      <c r="N19" s="165"/>
    </row>
    <row r="20" spans="2:14">
      <c r="B20" s="247" t="s">
        <v>1088</v>
      </c>
      <c r="C20" s="251">
        <f t="shared" ref="C20:M20" si="3">365*C19/C5</f>
        <v>358.25449442861014</v>
      </c>
      <c r="D20" s="251">
        <f t="shared" si="3"/>
        <v>628.9655918042356</v>
      </c>
      <c r="E20" s="251">
        <f t="shared" si="3"/>
        <v>749.56090749422765</v>
      </c>
      <c r="F20" s="251">
        <f t="shared" si="3"/>
        <v>391.97605149476317</v>
      </c>
      <c r="G20" s="251">
        <f t="shared" si="3"/>
        <v>290.65262178342698</v>
      </c>
      <c r="H20" s="251">
        <f t="shared" si="3"/>
        <v>119.99999999999997</v>
      </c>
      <c r="I20" s="251">
        <f t="shared" si="3"/>
        <v>100</v>
      </c>
      <c r="J20" s="251">
        <f t="shared" si="3"/>
        <v>89.999999999999986</v>
      </c>
      <c r="K20" s="251">
        <f t="shared" si="3"/>
        <v>80</v>
      </c>
      <c r="L20" s="251">
        <f t="shared" si="3"/>
        <v>79.999999999999986</v>
      </c>
      <c r="M20" s="251">
        <f t="shared" si="3"/>
        <v>80</v>
      </c>
      <c r="N20" s="165" t="s">
        <v>1136</v>
      </c>
    </row>
    <row r="21" spans="2:14">
      <c r="B21" s="165" t="s">
        <v>1089</v>
      </c>
      <c r="C21" s="246">
        <f>OD_BS!D14/1000000000</f>
        <v>52.169826886999999</v>
      </c>
      <c r="D21" s="246">
        <f>OD_BS!E14/1000000000</f>
        <v>105.747314641</v>
      </c>
      <c r="E21" s="246">
        <f>OD_BS!F14/1000000000</f>
        <v>130.49996864299999</v>
      </c>
      <c r="F21" s="246">
        <f>OD_BS!G14/1000000000</f>
        <v>573.57084062800004</v>
      </c>
      <c r="G21" s="246">
        <f>OD_BS!H14/1000000000</f>
        <v>550.35843596100005</v>
      </c>
      <c r="H21" s="246">
        <f>OD_BS!I14/1000000000</f>
        <v>428.20535604515601</v>
      </c>
      <c r="I21" s="246">
        <f>OD_BS!J14/1000000000</f>
        <v>295.68305813071458</v>
      </c>
      <c r="J21" s="246">
        <f>OD_BS!K14/1000000000</f>
        <v>139.63754404942847</v>
      </c>
      <c r="K21" s="246">
        <f>OD_BS!L14/1000000000</f>
        <v>-17.035476580799074</v>
      </c>
      <c r="L21" s="246">
        <f>OD_BS!M14/1000000000</f>
        <v>-177.56015136144484</v>
      </c>
      <c r="M21" s="246">
        <f>OD_BS!N14/1000000000</f>
        <v>-346.1110598811228</v>
      </c>
      <c r="N21" s="165"/>
    </row>
    <row r="22" spans="2:14">
      <c r="B22" s="165" t="s">
        <v>1090</v>
      </c>
      <c r="C22" s="246">
        <f>OD_BS!D21/1000000000</f>
        <v>130.79621681200001</v>
      </c>
      <c r="D22" s="246">
        <f>OD_BS!E21/1000000000</f>
        <v>94.317807400000007</v>
      </c>
      <c r="E22" s="246">
        <f>OD_BS!F21/1000000000</f>
        <v>171.35269091200001</v>
      </c>
      <c r="F22" s="246">
        <f>OD_BS!G21/1000000000</f>
        <v>527.36409644499997</v>
      </c>
      <c r="G22" s="246">
        <f>OD_BS!H21/1000000000</f>
        <v>304.27125748100002</v>
      </c>
      <c r="H22" s="246">
        <f>OD_BS!I21/1000000000</f>
        <v>1495.2620667540418</v>
      </c>
      <c r="I22" s="246">
        <f>OD_BS!J21/1000000000</f>
        <v>1161.7545415300071</v>
      </c>
      <c r="J22" s="246">
        <f>OD_BS!K21/1000000000</f>
        <v>793.38587111660399</v>
      </c>
      <c r="K22" s="246">
        <f>OD_BS!L21/1000000000</f>
        <v>352.34982615622829</v>
      </c>
      <c r="L22" s="246">
        <f>OD_BS!M21/1000000000</f>
        <v>304.27125748100002</v>
      </c>
      <c r="M22" s="246">
        <f>OD_BS!N21/1000000000</f>
        <v>304.27125748100002</v>
      </c>
      <c r="N22" s="165" t="s">
        <v>1137</v>
      </c>
    </row>
    <row r="23" spans="2:14">
      <c r="B23" s="165" t="s">
        <v>1091</v>
      </c>
      <c r="C23" s="246">
        <f>OD_BS!D24/1000000000</f>
        <v>71</v>
      </c>
      <c r="D23" s="246">
        <f>OD_BS!E24/1000000000</f>
        <v>1</v>
      </c>
      <c r="E23" s="246">
        <f>OD_BS!F24/1000000000</f>
        <v>39.014432855999999</v>
      </c>
      <c r="F23" s="246">
        <f>OD_BS!G24/1000000000</f>
        <v>50.006060793000003</v>
      </c>
      <c r="G23" s="246">
        <f>OD_BS!H24/1000000000</f>
        <v>36.866802036999999</v>
      </c>
      <c r="H23" s="246">
        <f>OD_BS!I24/1000000000</f>
        <v>36.866802036999999</v>
      </c>
      <c r="I23" s="246">
        <f>OD_BS!J24/1000000000</f>
        <v>36.866802036999999</v>
      </c>
      <c r="J23" s="246">
        <f>OD_BS!K24/1000000000</f>
        <v>36.866802036999999</v>
      </c>
      <c r="K23" s="246">
        <f>OD_BS!L24/1000000000</f>
        <v>36.866802036999999</v>
      </c>
      <c r="L23" s="246">
        <f>OD_BS!M24/1000000000</f>
        <v>36.866802036999999</v>
      </c>
      <c r="M23" s="246">
        <f>OD_BS!N24/1000000000</f>
        <v>36.866802036999999</v>
      </c>
      <c r="N23" s="165"/>
    </row>
    <row r="24" spans="2:14">
      <c r="B24" s="240" t="s">
        <v>567</v>
      </c>
      <c r="C24" s="246">
        <f>OD_BS!D26/1000000000</f>
        <v>564.64814610200006</v>
      </c>
      <c r="D24" s="246">
        <f>OD_BS!E26/1000000000</f>
        <v>575.68608671200002</v>
      </c>
      <c r="E24" s="246">
        <f>OD_BS!F26/1000000000</f>
        <v>412.35286537899998</v>
      </c>
      <c r="F24" s="246">
        <f>OD_BS!G26/1000000000</f>
        <v>182.91738766</v>
      </c>
      <c r="G24" s="246">
        <f>OD_BS!H26/1000000000</f>
        <v>130.61254057900001</v>
      </c>
      <c r="H24" s="246">
        <f>OD_BS!I26/1000000000</f>
        <v>211.39305541435129</v>
      </c>
      <c r="I24" s="246">
        <f>OD_BS!J26/1000000000</f>
        <v>320.70900281248601</v>
      </c>
      <c r="J24" s="246">
        <f>OD_BS!K26/1000000000</f>
        <v>473.95067963322663</v>
      </c>
      <c r="K24" s="246">
        <f>OD_BS!L26/1000000000</f>
        <v>678.68476379902381</v>
      </c>
      <c r="L24" s="246">
        <f>OD_BS!M26/1000000000</f>
        <v>921.23566698226978</v>
      </c>
      <c r="M24" s="246">
        <f>OD_BS!N26/1000000000</f>
        <v>1162.1338360975692</v>
      </c>
      <c r="N24" s="165" t="s">
        <v>1138</v>
      </c>
    </row>
    <row r="25" spans="2:14">
      <c r="B25" s="247" t="s">
        <v>1139</v>
      </c>
      <c r="C25" s="169">
        <f t="shared" ref="C25:M25" si="4">(C22+C23)/C24</f>
        <v>0.35738400666872433</v>
      </c>
      <c r="D25" s="169">
        <f t="shared" si="4"/>
        <v>0.16557253961860102</v>
      </c>
      <c r="E25" s="169">
        <f t="shared" si="4"/>
        <v>0.51016287609556998</v>
      </c>
      <c r="F25" s="169">
        <f t="shared" si="4"/>
        <v>3.1564531104675186</v>
      </c>
      <c r="G25" s="169">
        <f t="shared" si="4"/>
        <v>2.6118323554977882</v>
      </c>
      <c r="H25" s="169">
        <f t="shared" si="4"/>
        <v>7.2477729497211616</v>
      </c>
      <c r="I25" s="169">
        <f t="shared" si="4"/>
        <v>3.7374109646302136</v>
      </c>
      <c r="J25" s="169">
        <f t="shared" si="4"/>
        <v>1.7517701921982824</v>
      </c>
      <c r="K25" s="169">
        <f t="shared" si="4"/>
        <v>0.5734866155157794</v>
      </c>
      <c r="L25" s="169">
        <f t="shared" si="4"/>
        <v>0.37030487609699292</v>
      </c>
      <c r="M25" s="169">
        <f t="shared" si="4"/>
        <v>0.2935445547851333</v>
      </c>
      <c r="N25" s="165" t="s">
        <v>1140</v>
      </c>
    </row>
    <row r="26" spans="2:14">
      <c r="B26" s="247" t="s">
        <v>956</v>
      </c>
      <c r="C26" s="248">
        <f t="shared" ref="C26:M26" si="5">C12/C24</f>
        <v>5.3113131724658945E-2</v>
      </c>
      <c r="D26" s="248">
        <f t="shared" si="5"/>
        <v>4.3236862742615172E-2</v>
      </c>
      <c r="E26" s="248">
        <f t="shared" si="5"/>
        <v>6.4311325453325061E-2</v>
      </c>
      <c r="F26" s="248">
        <f t="shared" si="5"/>
        <v>0.71346145897609736</v>
      </c>
      <c r="G26" s="248">
        <f t="shared" si="5"/>
        <v>0.63051440858536356</v>
      </c>
      <c r="H26" s="248">
        <f t="shared" si="5"/>
        <v>0.38213419394035192</v>
      </c>
      <c r="I26" s="248">
        <f t="shared" si="5"/>
        <v>0.34085712106451282</v>
      </c>
      <c r="J26" s="248">
        <f t="shared" si="5"/>
        <v>0.34034559958261529</v>
      </c>
      <c r="K26" s="248">
        <f t="shared" si="5"/>
        <v>0.33518111481745011</v>
      </c>
      <c r="L26" s="248">
        <f t="shared" si="5"/>
        <v>0.30975136327465624</v>
      </c>
      <c r="M26" s="248">
        <f t="shared" si="5"/>
        <v>0.2591119043614552</v>
      </c>
      <c r="N26" s="165" t="s">
        <v>1141</v>
      </c>
    </row>
    <row r="27" spans="2:14">
      <c r="B27" s="247" t="s">
        <v>954</v>
      </c>
      <c r="C27" s="248">
        <f t="shared" ref="C27:M27" si="6">C12/C17</f>
        <v>2.1599525378847743E-2</v>
      </c>
      <c r="D27" s="248">
        <f t="shared" si="6"/>
        <v>1.8972671349021326E-2</v>
      </c>
      <c r="E27" s="248">
        <f t="shared" si="6"/>
        <v>1.4022101993346154E-2</v>
      </c>
      <c r="F27" s="248">
        <f t="shared" si="6"/>
        <v>4.6364793110227592E-2</v>
      </c>
      <c r="G27" s="248">
        <f t="shared" si="6"/>
        <v>2.6858055998993872E-2</v>
      </c>
      <c r="H27" s="248">
        <f t="shared" si="6"/>
        <v>3.4079201789377823E-2</v>
      </c>
      <c r="I27" s="248">
        <f t="shared" si="6"/>
        <v>4.795395805927629E-2</v>
      </c>
      <c r="J27" s="248">
        <f t="shared" si="6"/>
        <v>7.4299068221403197E-2</v>
      </c>
      <c r="K27" s="248">
        <f t="shared" si="6"/>
        <v>0.11248864546700435</v>
      </c>
      <c r="L27" s="248">
        <f t="shared" si="6"/>
        <v>0.14747301709987884</v>
      </c>
      <c r="M27" s="248">
        <f t="shared" si="6"/>
        <v>0.16571343539137054</v>
      </c>
      <c r="N27" s="165" t="s">
        <v>1142</v>
      </c>
    </row>
    <row r="28" spans="2:14"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</row>
    <row r="29" spans="2:14">
      <c r="B29" s="272" t="s">
        <v>1092</v>
      </c>
      <c r="C29" s="270"/>
      <c r="D29" s="270"/>
      <c r="E29" s="270"/>
      <c r="F29" s="270"/>
      <c r="G29" s="270"/>
      <c r="H29" s="270"/>
      <c r="I29" s="270"/>
      <c r="J29" s="270"/>
      <c r="K29" s="270"/>
      <c r="L29" s="270"/>
      <c r="M29" s="270"/>
      <c r="N29" s="270"/>
    </row>
    <row r="30" spans="2:14">
      <c r="B30" s="274" t="s">
        <v>1078</v>
      </c>
      <c r="C30" s="200">
        <v>2021</v>
      </c>
      <c r="D30" s="200">
        <v>2022</v>
      </c>
      <c r="E30" s="200">
        <v>2023</v>
      </c>
      <c r="F30" s="200">
        <v>2024</v>
      </c>
      <c r="G30" s="200">
        <v>2025</v>
      </c>
      <c r="H30" s="200" t="s">
        <v>1116</v>
      </c>
      <c r="I30" s="200" t="s">
        <v>1117</v>
      </c>
      <c r="J30" s="200" t="s">
        <v>1118</v>
      </c>
      <c r="K30" s="200" t="s">
        <v>1119</v>
      </c>
      <c r="L30" s="200" t="s">
        <v>1120</v>
      </c>
      <c r="M30" s="200" t="s">
        <v>1121</v>
      </c>
      <c r="N30" s="200" t="s">
        <v>1079</v>
      </c>
    </row>
    <row r="31" spans="2:14">
      <c r="B31" s="240" t="s">
        <v>1093</v>
      </c>
      <c r="C31" s="246">
        <f>OD_CF!D4/1000000000</f>
        <v>-88.400373517999995</v>
      </c>
      <c r="D31" s="246">
        <f>OD_CF!E4/1000000000</f>
        <v>-165.318879753</v>
      </c>
      <c r="E31" s="246">
        <f>OD_CF!F4/1000000000</f>
        <v>-192.469587749</v>
      </c>
      <c r="F31" s="246">
        <f>OD_CF!G4/1000000000</f>
        <v>357.42785160599999</v>
      </c>
      <c r="G31" s="246">
        <f>OD_CF!H4/1000000000</f>
        <v>7.3654268580000002</v>
      </c>
      <c r="H31" s="246">
        <f>OD_CF!I4/1000000000</f>
        <v>1196.8474641271143</v>
      </c>
      <c r="I31" s="246">
        <f>OD_CF!J4/1000000000</f>
        <v>463.48522730959326</v>
      </c>
      <c r="J31" s="246">
        <f>OD_CF!K4/1000000000</f>
        <v>496.01350774373509</v>
      </c>
      <c r="K31" s="246">
        <f>OD_CF!L4/1000000000</f>
        <v>596.51750590412541</v>
      </c>
      <c r="L31" s="246">
        <f>OD_CF!M4/1000000000</f>
        <v>587.97190151065467</v>
      </c>
      <c r="M31" s="246">
        <f>OD_CF!N4/1000000000</f>
        <v>620.38468519940466</v>
      </c>
      <c r="N31" s="165" t="s">
        <v>1143</v>
      </c>
    </row>
    <row r="32" spans="2:14">
      <c r="B32" s="247" t="s">
        <v>1144</v>
      </c>
      <c r="C32" s="252">
        <f t="shared" ref="C32:M32" si="7">IFERROR(C31/C12,"-")</f>
        <v>-2.9476389311891165</v>
      </c>
      <c r="D32" s="252">
        <f t="shared" si="7"/>
        <v>-6.6417503319487716</v>
      </c>
      <c r="E32" s="252">
        <f t="shared" si="7"/>
        <v>-7.2578107374311296</v>
      </c>
      <c r="F32" s="252">
        <f t="shared" si="7"/>
        <v>2.7388161667080064</v>
      </c>
      <c r="G32" s="252">
        <f t="shared" si="7"/>
        <v>8.9437165835327542E-2</v>
      </c>
      <c r="H32" s="252">
        <f t="shared" si="7"/>
        <v>14.816041548714521</v>
      </c>
      <c r="I32" s="252">
        <f t="shared" si="7"/>
        <v>4.2398683663377534</v>
      </c>
      <c r="J32" s="252">
        <f t="shared" si="7"/>
        <v>3.074965258359609</v>
      </c>
      <c r="K32" s="252">
        <f t="shared" si="7"/>
        <v>2.6222588070824098</v>
      </c>
      <c r="L32" s="252">
        <f t="shared" si="7"/>
        <v>2.0604999186767743</v>
      </c>
      <c r="M32" s="252">
        <f t="shared" si="7"/>
        <v>2.0602387721841886</v>
      </c>
      <c r="N32" s="165" t="s">
        <v>1145</v>
      </c>
    </row>
    <row r="33" spans="2:14">
      <c r="B33" s="165" t="s">
        <v>1094</v>
      </c>
      <c r="C33" s="246">
        <f>OD_CF!D9/1000000000</f>
        <v>11.187918086</v>
      </c>
      <c r="D33" s="246">
        <f>OD_CF!E9/1000000000</f>
        <v>293.110077155</v>
      </c>
      <c r="E33" s="246">
        <f>OD_CF!F9/1000000000</f>
        <v>-397.14476433900001</v>
      </c>
      <c r="F33" s="246">
        <f>OD_CF!G9/1000000000</f>
        <v>-613.628111128</v>
      </c>
      <c r="G33" s="246">
        <f>OD_CF!H9/1000000000</f>
        <v>-192.80033548099999</v>
      </c>
      <c r="H33" s="246">
        <f>OD_CF!I9/1000000000</f>
        <v>-127.84692008415601</v>
      </c>
      <c r="I33" s="246">
        <f>OD_CF!J9/1000000000</f>
        <v>-129.9777020855586</v>
      </c>
      <c r="J33" s="246">
        <f>OD_CF!K9/1000000000</f>
        <v>-119.57948591871391</v>
      </c>
      <c r="K33" s="246">
        <f>OD_CF!L9/1000000000</f>
        <v>-132.73322936977246</v>
      </c>
      <c r="L33" s="246">
        <f>OD_CF!M9/1000000000</f>
        <v>-143.35188771935424</v>
      </c>
      <c r="M33" s="246">
        <f>OD_CF!N9/1000000000</f>
        <v>-150.51948210532197</v>
      </c>
      <c r="N33" s="165" t="s">
        <v>1146</v>
      </c>
    </row>
    <row r="34" spans="2:14">
      <c r="B34" s="165" t="s">
        <v>1095</v>
      </c>
      <c r="C34" s="246">
        <f>OD_CF!D14/1000000000</f>
        <v>45.121186033999997</v>
      </c>
      <c r="D34" s="246">
        <f>OD_CF!E14/1000000000</f>
        <v>-105.63940941200001</v>
      </c>
      <c r="E34" s="246">
        <f>OD_CF!F14/1000000000</f>
        <v>571.60267758099997</v>
      </c>
      <c r="F34" s="246">
        <f>OD_CF!G14/1000000000</f>
        <v>383.97499434299999</v>
      </c>
      <c r="G34" s="246">
        <f>OD_CF!H14/1000000000</f>
        <v>337.71082423600001</v>
      </c>
      <c r="H34" s="246">
        <f>OD_CF!I14/1000000000</f>
        <v>1190.9908092730418</v>
      </c>
      <c r="I34" s="246">
        <f>OD_CF!J14/1000000000</f>
        <v>-333.50752522403468</v>
      </c>
      <c r="J34" s="246">
        <f>OD_CF!K14/1000000000</f>
        <v>-376.43402182502098</v>
      </c>
      <c r="K34" s="246">
        <f>OD_CF!L14/1000000000</f>
        <v>-463.78427653435318</v>
      </c>
      <c r="L34" s="246">
        <f>OD_CF!M14/1000000000</f>
        <v>-90.881669236977572</v>
      </c>
      <c r="M34" s="246">
        <f>OD_CF!N14/1000000000</f>
        <v>-60.224542278824885</v>
      </c>
      <c r="N34" s="165"/>
    </row>
    <row r="35" spans="2:14">
      <c r="B35" s="165" t="s">
        <v>1096</v>
      </c>
      <c r="C35" s="246">
        <f>OD_CF!D6/1000000000</f>
        <v>200.43435726600001</v>
      </c>
      <c r="D35" s="246">
        <f>OD_CF!E6/1000000000</f>
        <v>201.526522056</v>
      </c>
      <c r="E35" s="246">
        <f>OD_CF!F6/1000000000</f>
        <v>193.36752544500001</v>
      </c>
      <c r="F35" s="246">
        <f>OD_CF!G6/1000000000</f>
        <v>254.23042889300001</v>
      </c>
      <c r="G35" s="246">
        <f>OD_CF!H6/1000000000</f>
        <v>0</v>
      </c>
      <c r="H35" s="246">
        <f>OD_CF!I6/1000000000</f>
        <v>250</v>
      </c>
      <c r="I35" s="246">
        <f>OD_CF!J6/1000000000</f>
        <v>262.5</v>
      </c>
      <c r="J35" s="246">
        <f>OD_CF!K6/1000000000</f>
        <v>275.625</v>
      </c>
      <c r="K35" s="246">
        <f>OD_CF!L6/1000000000</f>
        <v>289.40625</v>
      </c>
      <c r="L35" s="246">
        <f>OD_CF!M6/1000000000</f>
        <v>303.87656250000003</v>
      </c>
      <c r="M35" s="246">
        <f>OD_CF!N6/1000000000</f>
        <v>319.07039062500007</v>
      </c>
      <c r="N35" s="165"/>
    </row>
    <row r="36" spans="2:14">
      <c r="B36" s="165" t="s">
        <v>1097</v>
      </c>
      <c r="C36" s="246">
        <f>-OD_CF!D10/1000000000</f>
        <v>2.9118948360000001</v>
      </c>
      <c r="D36" s="246">
        <f>-OD_CF!E10/1000000000</f>
        <v>0.26209090899999998</v>
      </c>
      <c r="E36" s="246">
        <f>-OD_CF!F10/1000000000</f>
        <v>85.145283539000005</v>
      </c>
      <c r="F36" s="246">
        <f>-OD_CF!G10/1000000000</f>
        <v>552.93981771799997</v>
      </c>
      <c r="G36" s="246">
        <f>-OD_CF!H10/1000000000</f>
        <v>98.219383902999994</v>
      </c>
      <c r="H36" s="246">
        <f>-OD_CF!I10/1000000000</f>
        <v>127.84692008415601</v>
      </c>
      <c r="I36" s="246">
        <f>-OD_CF!J10/1000000000</f>
        <v>129.9777020855586</v>
      </c>
      <c r="J36" s="246">
        <f>-OD_CF!K10/1000000000</f>
        <v>119.57948591871391</v>
      </c>
      <c r="K36" s="246">
        <f>-OD_CF!L10/1000000000</f>
        <v>132.73322936977246</v>
      </c>
      <c r="L36" s="246">
        <f>-OD_CF!M10/1000000000</f>
        <v>143.35188771935424</v>
      </c>
      <c r="M36" s="246">
        <f>-OD_CF!N10/1000000000</f>
        <v>150.51948210532197</v>
      </c>
      <c r="N36" s="165" t="s">
        <v>1147</v>
      </c>
    </row>
    <row r="37" spans="2:14">
      <c r="B37" s="240" t="s">
        <v>1098</v>
      </c>
      <c r="C37" s="250">
        <f t="shared" ref="C37:M37" si="8">C31-C36</f>
        <v>-91.312268353999997</v>
      </c>
      <c r="D37" s="250">
        <f t="shared" si="8"/>
        <v>-165.580970662</v>
      </c>
      <c r="E37" s="250">
        <f t="shared" si="8"/>
        <v>-277.61487128800002</v>
      </c>
      <c r="F37" s="250">
        <f t="shared" si="8"/>
        <v>-195.51196611199998</v>
      </c>
      <c r="G37" s="250">
        <f t="shared" si="8"/>
        <v>-90.853957044999987</v>
      </c>
      <c r="H37" s="250">
        <f t="shared" si="8"/>
        <v>1069.0005440429584</v>
      </c>
      <c r="I37" s="250">
        <f t="shared" si="8"/>
        <v>333.50752522403468</v>
      </c>
      <c r="J37" s="250">
        <f t="shared" si="8"/>
        <v>376.4340218250212</v>
      </c>
      <c r="K37" s="250">
        <f t="shared" si="8"/>
        <v>463.78427653435295</v>
      </c>
      <c r="L37" s="250">
        <f t="shared" si="8"/>
        <v>444.62001379130044</v>
      </c>
      <c r="M37" s="250">
        <f t="shared" si="8"/>
        <v>469.86520309408269</v>
      </c>
      <c r="N37" s="240" t="s">
        <v>1148</v>
      </c>
    </row>
    <row r="38" spans="2:14"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245"/>
    </row>
    <row r="39" spans="2:14">
      <c r="B39" s="270" t="s">
        <v>1149</v>
      </c>
      <c r="C39" s="270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1"/>
    </row>
    <row r="40" spans="2:14">
      <c r="B40" s="199" t="s">
        <v>1078</v>
      </c>
      <c r="C40" s="200" t="s">
        <v>1150</v>
      </c>
      <c r="D40" s="200" t="s">
        <v>1151</v>
      </c>
      <c r="E40" s="200"/>
      <c r="F40" s="200"/>
      <c r="G40" s="200"/>
      <c r="H40" s="200"/>
      <c r="I40" s="200"/>
      <c r="J40" s="200"/>
      <c r="K40" s="200"/>
      <c r="L40" s="200"/>
      <c r="M40" s="200"/>
      <c r="N40" s="266"/>
    </row>
    <row r="41" spans="2:14">
      <c r="B41" s="165" t="s">
        <v>1000</v>
      </c>
      <c r="C41" s="168">
        <f>OD_Valuation!C7</f>
        <v>4.4999999999999998E-2</v>
      </c>
      <c r="D41" s="165" t="s">
        <v>1152</v>
      </c>
      <c r="E41" s="165"/>
      <c r="F41" s="165"/>
      <c r="G41" s="165"/>
      <c r="H41" s="165"/>
      <c r="I41" s="165"/>
      <c r="J41" s="165"/>
      <c r="K41" s="165"/>
      <c r="L41" s="165"/>
      <c r="M41" s="165"/>
      <c r="N41" s="245"/>
    </row>
    <row r="42" spans="2:14">
      <c r="B42" s="165" t="s">
        <v>958</v>
      </c>
      <c r="C42" s="253">
        <f>OD_Valuation!C8</f>
        <v>1.05</v>
      </c>
      <c r="D42" s="165" t="s">
        <v>1153</v>
      </c>
      <c r="E42" s="165"/>
      <c r="F42" s="165"/>
      <c r="G42" s="165"/>
      <c r="H42" s="165"/>
      <c r="I42" s="165"/>
      <c r="J42" s="165"/>
      <c r="K42" s="165"/>
      <c r="L42" s="165"/>
      <c r="M42" s="165"/>
      <c r="N42" s="245"/>
    </row>
    <row r="43" spans="2:14">
      <c r="B43" s="165" t="s">
        <v>1001</v>
      </c>
      <c r="C43" s="168">
        <f>OD_Valuation!C9</f>
        <v>9.11E-2</v>
      </c>
      <c r="D43" s="165" t="s">
        <v>1154</v>
      </c>
      <c r="E43" s="165"/>
      <c r="F43" s="165"/>
      <c r="G43" s="165"/>
      <c r="H43" s="165"/>
      <c r="I43" s="165"/>
      <c r="J43" s="165"/>
      <c r="K43" s="165"/>
      <c r="L43" s="165"/>
      <c r="M43" s="165"/>
      <c r="N43" s="245"/>
    </row>
    <row r="44" spans="2:14">
      <c r="B44" s="165" t="s">
        <v>1155</v>
      </c>
      <c r="C44" s="168">
        <f>OD_Valuation!C18</f>
        <v>0.140655</v>
      </c>
      <c r="D44" s="165" t="s">
        <v>1156</v>
      </c>
      <c r="E44" s="165"/>
      <c r="F44" s="165"/>
      <c r="G44" s="165"/>
      <c r="H44" s="165"/>
      <c r="I44" s="165"/>
      <c r="J44" s="165"/>
      <c r="K44" s="165"/>
      <c r="L44" s="165"/>
      <c r="M44" s="165"/>
      <c r="N44" s="245"/>
    </row>
    <row r="45" spans="2:14">
      <c r="B45" s="165" t="s">
        <v>1157</v>
      </c>
      <c r="C45" s="168">
        <f>OD_Valuation!C19</f>
        <v>8.8000000000000009E-2</v>
      </c>
      <c r="D45" s="165" t="s">
        <v>1158</v>
      </c>
      <c r="E45" s="165"/>
      <c r="F45" s="165"/>
      <c r="G45" s="165"/>
      <c r="H45" s="165"/>
      <c r="I45" s="165"/>
      <c r="J45" s="165"/>
      <c r="K45" s="165"/>
      <c r="L45" s="165"/>
      <c r="M45" s="165"/>
      <c r="N45" s="245"/>
    </row>
    <row r="46" spans="2:14">
      <c r="B46" s="240" t="s">
        <v>959</v>
      </c>
      <c r="C46" s="254">
        <f>OD_Valuation!C20</f>
        <v>0.12222574999999999</v>
      </c>
      <c r="D46" s="165" t="s">
        <v>1159</v>
      </c>
      <c r="E46" s="165"/>
      <c r="F46" s="165"/>
      <c r="G46" s="165"/>
      <c r="H46" s="165"/>
      <c r="I46" s="165"/>
      <c r="J46" s="165"/>
      <c r="K46" s="165"/>
      <c r="L46" s="165"/>
      <c r="M46" s="165"/>
      <c r="N46" s="245"/>
    </row>
    <row r="47" spans="2:14">
      <c r="B47" s="165" t="s">
        <v>1160</v>
      </c>
      <c r="C47" s="168">
        <f>OD_Valuation!C13</f>
        <v>2.5000000000000001E-2</v>
      </c>
      <c r="D47" s="165" t="s">
        <v>1161</v>
      </c>
      <c r="E47" s="165"/>
      <c r="F47" s="165"/>
      <c r="G47" s="165"/>
      <c r="H47" s="165"/>
      <c r="I47" s="165"/>
      <c r="J47" s="165"/>
      <c r="K47" s="165"/>
      <c r="L47" s="165"/>
      <c r="M47" s="165"/>
      <c r="N47" s="245"/>
    </row>
    <row r="48" spans="2:14">
      <c r="B48" s="165" t="s">
        <v>1162</v>
      </c>
      <c r="C48" s="246">
        <f ca="1">OD_Valuation!C40</f>
        <v>4207.5063036653828</v>
      </c>
      <c r="D48" s="165" t="s">
        <v>1163</v>
      </c>
      <c r="E48" s="165"/>
      <c r="F48" s="165"/>
      <c r="G48" s="165"/>
      <c r="H48" s="165"/>
      <c r="I48" s="165"/>
      <c r="J48" s="165"/>
      <c r="K48" s="165"/>
      <c r="L48" s="165"/>
      <c r="M48" s="165"/>
      <c r="N48" s="245"/>
    </row>
    <row r="49" spans="2:14">
      <c r="B49" s="165" t="s">
        <v>1164</v>
      </c>
      <c r="C49" s="246">
        <f ca="1">OD_Valuation!C46</f>
        <v>3821.7118385333824</v>
      </c>
      <c r="D49" s="165" t="s">
        <v>1165</v>
      </c>
      <c r="E49" s="165"/>
      <c r="F49" s="165"/>
      <c r="G49" s="165"/>
      <c r="H49" s="165"/>
      <c r="I49" s="165"/>
      <c r="J49" s="165"/>
      <c r="K49" s="165"/>
      <c r="L49" s="165"/>
      <c r="M49" s="165"/>
      <c r="N49" s="245"/>
    </row>
    <row r="50" spans="2:14">
      <c r="B50" s="165" t="s">
        <v>1166</v>
      </c>
      <c r="C50" s="246">
        <f>OD_Valuation!C47</f>
        <v>191.80203499999999</v>
      </c>
      <c r="D50" s="165" t="s">
        <v>1167</v>
      </c>
      <c r="E50" s="165"/>
      <c r="F50" s="165"/>
      <c r="G50" s="165"/>
      <c r="H50" s="165"/>
      <c r="I50" s="165"/>
      <c r="J50" s="165"/>
      <c r="K50" s="165"/>
      <c r="L50" s="165"/>
      <c r="M50" s="165"/>
      <c r="N50" s="245"/>
    </row>
    <row r="51" spans="2:14">
      <c r="B51" s="240" t="s">
        <v>1168</v>
      </c>
      <c r="C51" s="255">
        <f ca="1">OD_Valuation!C48</f>
        <v>19925.293485720224</v>
      </c>
      <c r="D51" s="165" t="s">
        <v>1169</v>
      </c>
      <c r="E51" s="165"/>
      <c r="F51" s="165"/>
      <c r="G51" s="165"/>
      <c r="H51" s="165"/>
      <c r="I51" s="165"/>
      <c r="J51" s="165"/>
      <c r="K51" s="165"/>
      <c r="L51" s="165"/>
      <c r="M51" s="165"/>
      <c r="N51" s="245"/>
    </row>
    <row r="52" spans="2:14">
      <c r="B52" s="165" t="s">
        <v>1170</v>
      </c>
      <c r="C52" s="246">
        <v>9990</v>
      </c>
      <c r="D52" s="165" t="s">
        <v>1171</v>
      </c>
      <c r="E52" s="165"/>
      <c r="F52" s="165"/>
      <c r="G52" s="165"/>
      <c r="H52" s="165"/>
      <c r="I52" s="165"/>
      <c r="J52" s="165"/>
      <c r="K52" s="165"/>
      <c r="L52" s="165"/>
      <c r="M52" s="165"/>
      <c r="N52" s="245"/>
    </row>
    <row r="53" spans="2:14">
      <c r="B53" s="240" t="s">
        <v>1172</v>
      </c>
      <c r="C53" s="256">
        <f ca="1">C51/C52-1</f>
        <v>0.99452387244446672</v>
      </c>
      <c r="D53" s="165" t="s">
        <v>1173</v>
      </c>
      <c r="E53" s="165"/>
      <c r="F53" s="165"/>
      <c r="G53" s="165"/>
      <c r="H53" s="165"/>
      <c r="I53" s="165"/>
      <c r="J53" s="165"/>
      <c r="K53" s="165"/>
      <c r="L53" s="165"/>
      <c r="M53" s="165"/>
      <c r="N53" s="245"/>
    </row>
    <row r="54" spans="2:14" ht="18" customHeight="1"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</row>
    <row r="55" spans="2:14" ht="22.05" customHeight="1">
      <c r="B55" s="273" t="s">
        <v>1174</v>
      </c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</row>
    <row r="56" spans="2:14" ht="24" customHeight="1">
      <c r="B56" s="267" t="s">
        <v>1175</v>
      </c>
      <c r="C56" s="267"/>
      <c r="D56" s="267"/>
      <c r="E56" s="267"/>
      <c r="F56" s="267"/>
      <c r="G56" s="267"/>
      <c r="H56" s="267"/>
      <c r="I56" s="267"/>
      <c r="J56" s="267"/>
      <c r="K56" s="267"/>
      <c r="L56" s="267"/>
      <c r="M56" s="267"/>
      <c r="N56" s="267"/>
    </row>
    <row r="57" spans="2:14" ht="22.05" customHeight="1">
      <c r="B57" s="681" t="s">
        <v>1178</v>
      </c>
      <c r="C57" s="681"/>
      <c r="D57" s="681"/>
      <c r="E57" s="681"/>
      <c r="F57" s="681"/>
      <c r="G57" s="681"/>
      <c r="H57" s="681"/>
      <c r="I57" s="681"/>
      <c r="J57" s="681"/>
      <c r="K57" s="681"/>
      <c r="L57" s="681"/>
      <c r="M57" s="681"/>
      <c r="N57" s="681"/>
    </row>
    <row r="58" spans="2:14" ht="22.05" customHeight="1">
      <c r="B58" s="681" t="s">
        <v>1179</v>
      </c>
      <c r="C58" s="681"/>
      <c r="D58" s="681"/>
      <c r="E58" s="681"/>
      <c r="F58" s="681"/>
      <c r="G58" s="681"/>
      <c r="H58" s="681"/>
      <c r="I58" s="681"/>
      <c r="J58" s="681"/>
      <c r="K58" s="681"/>
      <c r="L58" s="681"/>
      <c r="M58" s="681"/>
      <c r="N58" s="681"/>
    </row>
    <row r="59" spans="2:14" ht="22.05" customHeight="1">
      <c r="B59" s="681" t="s">
        <v>1180</v>
      </c>
      <c r="C59" s="681"/>
      <c r="D59" s="681"/>
      <c r="E59" s="681"/>
      <c r="F59" s="681"/>
      <c r="G59" s="681"/>
      <c r="H59" s="681"/>
      <c r="I59" s="681"/>
      <c r="J59" s="681"/>
      <c r="K59" s="681"/>
      <c r="L59" s="681"/>
      <c r="M59" s="681"/>
      <c r="N59" s="681"/>
    </row>
    <row r="60" spans="2:14" ht="22.05" customHeight="1">
      <c r="B60" s="681" t="s">
        <v>1181</v>
      </c>
      <c r="C60" s="681"/>
      <c r="D60" s="681"/>
      <c r="E60" s="681"/>
      <c r="F60" s="681"/>
      <c r="G60" s="681"/>
      <c r="H60" s="681"/>
      <c r="I60" s="681"/>
      <c r="J60" s="681"/>
      <c r="K60" s="681"/>
      <c r="L60" s="681"/>
      <c r="M60" s="681"/>
      <c r="N60" s="681"/>
    </row>
    <row r="61" spans="2:14" ht="22.05" customHeight="1">
      <c r="B61" s="681" t="s">
        <v>1182</v>
      </c>
      <c r="C61" s="681"/>
      <c r="D61" s="681"/>
      <c r="E61" s="681"/>
      <c r="F61" s="681"/>
      <c r="G61" s="681"/>
      <c r="H61" s="681"/>
      <c r="I61" s="681"/>
      <c r="J61" s="681"/>
      <c r="K61" s="681"/>
      <c r="L61" s="681"/>
      <c r="M61" s="681"/>
      <c r="N61" s="681"/>
    </row>
    <row r="62" spans="2:14" ht="22.05" customHeight="1">
      <c r="B62" s="682"/>
      <c r="C62" s="682"/>
      <c r="D62" s="682"/>
      <c r="E62" s="682"/>
      <c r="F62" s="682"/>
      <c r="G62" s="682"/>
      <c r="H62" s="682"/>
      <c r="I62" s="682"/>
      <c r="J62" s="682"/>
      <c r="K62" s="682"/>
      <c r="L62" s="682"/>
      <c r="M62" s="682"/>
      <c r="N62" s="682"/>
    </row>
    <row r="63" spans="2:14" ht="22.05" customHeight="1">
      <c r="B63" s="680" t="s">
        <v>1176</v>
      </c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</row>
    <row r="64" spans="2:14" ht="24" customHeight="1">
      <c r="B64" s="257" t="s">
        <v>1183</v>
      </c>
      <c r="C64" s="258"/>
      <c r="D64" s="258"/>
      <c r="E64" s="258"/>
      <c r="F64" s="258"/>
      <c r="G64" s="258"/>
      <c r="H64" s="258"/>
      <c r="I64" s="258"/>
      <c r="J64" s="258"/>
      <c r="K64" s="258"/>
      <c r="L64" s="258"/>
      <c r="M64" s="258"/>
      <c r="N64" s="258"/>
    </row>
    <row r="65" spans="2:14" ht="22.05" customHeight="1">
      <c r="B65" s="681" t="s">
        <v>1184</v>
      </c>
      <c r="C65" s="681"/>
      <c r="D65" s="681"/>
      <c r="E65" s="681"/>
      <c r="F65" s="681"/>
      <c r="G65" s="681"/>
      <c r="H65" s="681"/>
      <c r="I65" s="681"/>
      <c r="J65" s="681"/>
      <c r="K65" s="681"/>
      <c r="L65" s="681"/>
      <c r="M65" s="681"/>
      <c r="N65" s="681"/>
    </row>
    <row r="66" spans="2:14" ht="22.05" customHeight="1">
      <c r="B66" s="681" t="s">
        <v>1185</v>
      </c>
      <c r="C66" s="681"/>
      <c r="D66" s="681"/>
      <c r="E66" s="681"/>
      <c r="F66" s="681"/>
      <c r="G66" s="681"/>
      <c r="H66" s="681"/>
      <c r="I66" s="681"/>
      <c r="J66" s="681"/>
      <c r="K66" s="681"/>
      <c r="L66" s="681"/>
      <c r="M66" s="681"/>
      <c r="N66" s="681"/>
    </row>
    <row r="67" spans="2:14" ht="22.05" customHeight="1">
      <c r="B67" s="681" t="s">
        <v>1186</v>
      </c>
      <c r="C67" s="681"/>
      <c r="D67" s="681"/>
      <c r="E67" s="681"/>
      <c r="F67" s="681"/>
      <c r="G67" s="681"/>
      <c r="H67" s="681"/>
      <c r="I67" s="681"/>
      <c r="J67" s="681"/>
      <c r="K67" s="681"/>
      <c r="L67" s="681"/>
      <c r="M67" s="681"/>
      <c r="N67" s="681"/>
    </row>
    <row r="68" spans="2:14" ht="22.05" customHeight="1">
      <c r="B68" s="681" t="s">
        <v>1187</v>
      </c>
      <c r="C68" s="681"/>
      <c r="D68" s="681"/>
      <c r="E68" s="681"/>
      <c r="F68" s="681"/>
      <c r="G68" s="681"/>
      <c r="H68" s="681"/>
      <c r="I68" s="681"/>
      <c r="J68" s="681"/>
      <c r="K68" s="681"/>
      <c r="L68" s="681"/>
      <c r="M68" s="681"/>
      <c r="N68" s="681"/>
    </row>
    <row r="69" spans="2:14" ht="22.05" customHeight="1">
      <c r="B69" s="681" t="s">
        <v>1188</v>
      </c>
      <c r="C69" s="681"/>
      <c r="D69" s="681"/>
      <c r="E69" s="681"/>
      <c r="F69" s="681"/>
      <c r="G69" s="681"/>
      <c r="H69" s="681"/>
      <c r="I69" s="681"/>
      <c r="J69" s="681"/>
      <c r="K69" s="681"/>
      <c r="L69" s="681"/>
      <c r="M69" s="681"/>
      <c r="N69" s="681"/>
    </row>
    <row r="70" spans="2:14" ht="22.05" customHeight="1">
      <c r="B70" s="682"/>
      <c r="C70" s="682"/>
      <c r="D70" s="682"/>
      <c r="E70" s="682"/>
      <c r="F70" s="682"/>
      <c r="G70" s="682"/>
      <c r="H70" s="682"/>
      <c r="I70" s="682"/>
      <c r="J70" s="682"/>
      <c r="K70" s="682"/>
      <c r="L70" s="682"/>
      <c r="M70" s="682"/>
      <c r="N70" s="682"/>
    </row>
    <row r="71" spans="2:14" ht="24" customHeight="1">
      <c r="B71" s="268" t="s">
        <v>1177</v>
      </c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</row>
    <row r="72" spans="2:14" ht="22.05" customHeight="1">
      <c r="B72" s="681" t="str">
        <f ca="1">"Giá mục tiêu DCF: "&amp;TEXT(C51,"#,##0")&amp;" VND/cp vs giá hiện tại "&amp;TEXT(C52,"#,##0")&amp;" VND - Upside +"&amp;TEXT(C53,"0%")</f>
        <v>Giá mục tiêu DCF: 19,925 VND/cp vs giá hiện tại 9,990 VND - Upside +99%</v>
      </c>
      <c r="C72" s="681"/>
      <c r="D72" s="681"/>
      <c r="E72" s="681"/>
      <c r="F72" s="681"/>
      <c r="G72" s="681"/>
      <c r="H72" s="681"/>
      <c r="I72" s="681"/>
      <c r="J72" s="681"/>
      <c r="K72" s="681"/>
      <c r="L72" s="681"/>
      <c r="M72" s="681"/>
      <c r="N72" s="681"/>
    </row>
    <row r="73" spans="2:14" ht="22.05" customHeight="1">
      <c r="B73" s="681" t="s">
        <v>1189</v>
      </c>
      <c r="C73" s="681"/>
      <c r="D73" s="681"/>
      <c r="E73" s="681"/>
      <c r="F73" s="681"/>
      <c r="G73" s="681"/>
      <c r="H73" s="681"/>
      <c r="I73" s="681"/>
      <c r="J73" s="681"/>
      <c r="K73" s="681"/>
      <c r="L73" s="681"/>
      <c r="M73" s="681"/>
      <c r="N73" s="681"/>
    </row>
    <row r="74" spans="2:14" ht="22.05" customHeight="1">
      <c r="B74" s="683" t="s">
        <v>1190</v>
      </c>
      <c r="C74" s="683"/>
      <c r="D74" s="683"/>
      <c r="E74" s="683"/>
      <c r="F74" s="683"/>
      <c r="G74" s="683"/>
      <c r="H74" s="683"/>
      <c r="I74" s="683"/>
      <c r="J74" s="683"/>
      <c r="K74" s="683"/>
      <c r="L74" s="683"/>
      <c r="M74" s="683"/>
      <c r="N74" s="683"/>
    </row>
    <row r="75" spans="2:14" ht="22.05" customHeight="1">
      <c r="B75" s="681" t="s">
        <v>1191</v>
      </c>
      <c r="C75" s="681"/>
      <c r="D75" s="681"/>
      <c r="E75" s="681"/>
      <c r="F75" s="681"/>
      <c r="G75" s="681"/>
      <c r="H75" s="681"/>
      <c r="I75" s="681"/>
      <c r="J75" s="681"/>
      <c r="K75" s="681"/>
      <c r="L75" s="681"/>
      <c r="M75" s="681"/>
      <c r="N75" s="681"/>
    </row>
    <row r="76" spans="2:14" ht="22.05" customHeight="1">
      <c r="B76" s="679" t="s">
        <v>1192</v>
      </c>
      <c r="C76" s="679"/>
      <c r="D76" s="679"/>
      <c r="E76" s="679"/>
      <c r="F76" s="679"/>
      <c r="G76" s="679"/>
      <c r="H76" s="679"/>
      <c r="I76" s="679"/>
      <c r="J76" s="679"/>
      <c r="K76" s="679"/>
      <c r="L76" s="679"/>
      <c r="M76" s="679"/>
      <c r="N76" s="679"/>
    </row>
  </sheetData>
  <mergeCells count="18">
    <mergeCell ref="B62:N62"/>
    <mergeCell ref="B57:N57"/>
    <mergeCell ref="B58:N58"/>
    <mergeCell ref="B59:N59"/>
    <mergeCell ref="B60:N60"/>
    <mergeCell ref="B61:N61"/>
    <mergeCell ref="B76:N76"/>
    <mergeCell ref="B63:N63"/>
    <mergeCell ref="B65:N65"/>
    <mergeCell ref="B66:N66"/>
    <mergeCell ref="B67:N67"/>
    <mergeCell ref="B68:N68"/>
    <mergeCell ref="B69:N69"/>
    <mergeCell ref="B70:N70"/>
    <mergeCell ref="B72:N72"/>
    <mergeCell ref="B73:N73"/>
    <mergeCell ref="B74:N74"/>
    <mergeCell ref="B75:N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IP_BS Raw</vt:lpstr>
      <vt:lpstr>IP_BS Raw (Q)</vt:lpstr>
      <vt:lpstr>IP_IS Raw</vt:lpstr>
      <vt:lpstr>IP_CF Raw</vt:lpstr>
      <vt:lpstr>IP_Notes Raw</vt:lpstr>
      <vt:lpstr>IPc_Others</vt:lpstr>
      <vt:lpstr>PD_Annual Breakdown</vt:lpstr>
      <vt:lpstr>PD_Operation</vt:lpstr>
      <vt:lpstr>IPc_WACC and Beta</vt:lpstr>
      <vt:lpstr>OD_BS</vt:lpstr>
      <vt:lpstr>OD_IS</vt:lpstr>
      <vt:lpstr>OD_CF</vt:lpstr>
      <vt:lpstr>OD_Ratio</vt:lpstr>
      <vt:lpstr>OD_Valuation</vt:lpstr>
      <vt:lpstr>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Minh Khoi</dc:creator>
  <cp:keywords/>
  <dc:description/>
  <cp:lastModifiedBy>Hoang Tran</cp:lastModifiedBy>
  <cp:revision/>
  <dcterms:created xsi:type="dcterms:W3CDTF">2024-03-06T07:36:25Z</dcterms:created>
  <dcterms:modified xsi:type="dcterms:W3CDTF">2026-04-26T05:49:00Z</dcterms:modified>
  <cp:category/>
  <cp:contentStatus/>
</cp:coreProperties>
</file>